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709588ED-CFF5-48B7-B8DC-2CAF5C464887}" xr6:coauthVersionLast="47" xr6:coauthVersionMax="47" xr10:uidLastSave="{00000000-0000-0000-0000-000000000000}"/>
  <bookViews>
    <workbookView xWindow="-120" yWindow="-120" windowWidth="24240" windowHeight="13020" tabRatio="849" activeTab="1" xr2:uid="{00000000-000D-0000-FFFF-FFFF00000000}"/>
  </bookViews>
  <sheets>
    <sheet name="Project Overview" sheetId="1" r:id="rId1"/>
    <sheet name="Raw Data" sheetId="2" r:id="rId2"/>
    <sheet name="Cleaned Data" sheetId="3" r:id="rId3"/>
    <sheet name="Gantt Chart" sheetId="4" r:id="rId4"/>
    <sheet name="Resource Planner" sheetId="5" r:id="rId5"/>
    <sheet name="Task Tracker" sheetId="6" r:id="rId6"/>
    <sheet name="Dashboard Checklist" sheetId="7" r:id="rId7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6" l="1"/>
  <c r="N13" i="6"/>
  <c r="I13" i="6"/>
  <c r="H13" i="6"/>
  <c r="N12" i="6"/>
  <c r="I12" i="6"/>
  <c r="H12" i="6"/>
  <c r="N11" i="6"/>
  <c r="I11" i="6"/>
  <c r="H11" i="6"/>
  <c r="N10" i="6"/>
  <c r="I10" i="6"/>
  <c r="H10" i="6"/>
  <c r="N9" i="6"/>
  <c r="I9" i="6"/>
  <c r="H9" i="6"/>
  <c r="N8" i="6"/>
  <c r="I8" i="6"/>
  <c r="H8" i="6"/>
  <c r="N7" i="6"/>
  <c r="I7" i="6"/>
  <c r="H7" i="6"/>
  <c r="N6" i="6"/>
  <c r="I6" i="6"/>
  <c r="H6" i="6"/>
  <c r="N5" i="6"/>
  <c r="I5" i="6"/>
  <c r="H5" i="6"/>
  <c r="N4" i="6"/>
  <c r="I4" i="6"/>
  <c r="H4" i="6"/>
  <c r="M11" i="5"/>
  <c r="L11" i="5"/>
  <c r="K11" i="5"/>
  <c r="I11" i="5"/>
  <c r="H11" i="5"/>
  <c r="G11" i="5"/>
  <c r="F11" i="5"/>
  <c r="N10" i="5"/>
  <c r="J10" i="5"/>
  <c r="N9" i="5"/>
  <c r="J9" i="5"/>
  <c r="N8" i="5"/>
  <c r="J8" i="5"/>
  <c r="N7" i="5"/>
  <c r="J7" i="5"/>
  <c r="N6" i="5"/>
  <c r="J6" i="5"/>
  <c r="N5" i="5"/>
  <c r="J5" i="5"/>
  <c r="N4" i="5"/>
  <c r="J4" i="5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F40" i="1"/>
  <c r="F39" i="1"/>
  <c r="F38" i="1"/>
  <c r="F37" i="1"/>
  <c r="F36" i="1"/>
  <c r="F35" i="1"/>
  <c r="F34" i="1"/>
  <c r="F33" i="1"/>
  <c r="F32" i="1"/>
  <c r="F31" i="1"/>
  <c r="A18" i="1"/>
  <c r="P123" i="3"/>
  <c r="I123" i="3"/>
  <c r="H123" i="3"/>
  <c r="P122" i="3"/>
  <c r="I122" i="3"/>
  <c r="H122" i="3"/>
  <c r="P121" i="3"/>
  <c r="I121" i="3"/>
  <c r="H121" i="3"/>
  <c r="P120" i="3"/>
  <c r="I120" i="3"/>
  <c r="H120" i="3"/>
  <c r="P119" i="3"/>
  <c r="I119" i="3"/>
  <c r="H119" i="3"/>
  <c r="P118" i="3"/>
  <c r="I118" i="3"/>
  <c r="H118" i="3"/>
  <c r="P117" i="3"/>
  <c r="I117" i="3"/>
  <c r="H117" i="3"/>
  <c r="P116" i="3"/>
  <c r="I116" i="3"/>
  <c r="H116" i="3"/>
  <c r="P115" i="3"/>
  <c r="I115" i="3"/>
  <c r="H115" i="3"/>
  <c r="P114" i="3"/>
  <c r="I114" i="3"/>
  <c r="H114" i="3"/>
  <c r="P113" i="3"/>
  <c r="I113" i="3"/>
  <c r="H113" i="3"/>
  <c r="P112" i="3"/>
  <c r="I112" i="3"/>
  <c r="H112" i="3"/>
  <c r="P111" i="3"/>
  <c r="I111" i="3"/>
  <c r="H111" i="3"/>
  <c r="P110" i="3"/>
  <c r="I110" i="3"/>
  <c r="H110" i="3"/>
  <c r="P109" i="3"/>
  <c r="I109" i="3"/>
  <c r="H109" i="3"/>
  <c r="P108" i="3"/>
  <c r="I108" i="3"/>
  <c r="H108" i="3"/>
  <c r="P107" i="3"/>
  <c r="I107" i="3"/>
  <c r="H107" i="3"/>
  <c r="P106" i="3"/>
  <c r="I106" i="3"/>
  <c r="H106" i="3"/>
  <c r="P105" i="3"/>
  <c r="I105" i="3"/>
  <c r="H105" i="3"/>
  <c r="P104" i="3"/>
  <c r="I104" i="3"/>
  <c r="H104" i="3"/>
  <c r="P103" i="3"/>
  <c r="I103" i="3"/>
  <c r="H103" i="3"/>
  <c r="P102" i="3"/>
  <c r="I102" i="3"/>
  <c r="H102" i="3"/>
  <c r="P101" i="3"/>
  <c r="I101" i="3"/>
  <c r="H101" i="3"/>
  <c r="P100" i="3"/>
  <c r="I100" i="3"/>
  <c r="H100" i="3"/>
  <c r="P99" i="3"/>
  <c r="I99" i="3"/>
  <c r="H99" i="3"/>
  <c r="P98" i="3"/>
  <c r="I98" i="3"/>
  <c r="H98" i="3"/>
  <c r="P97" i="3"/>
  <c r="I97" i="3"/>
  <c r="H97" i="3"/>
  <c r="P96" i="3"/>
  <c r="I96" i="3"/>
  <c r="H96" i="3"/>
  <c r="P95" i="3"/>
  <c r="I95" i="3"/>
  <c r="H95" i="3"/>
  <c r="P94" i="3"/>
  <c r="I94" i="3"/>
  <c r="H94" i="3"/>
  <c r="P93" i="3"/>
  <c r="I93" i="3"/>
  <c r="H93" i="3"/>
  <c r="P92" i="3"/>
  <c r="I92" i="3"/>
  <c r="H92" i="3"/>
  <c r="P91" i="3"/>
  <c r="I91" i="3"/>
  <c r="H91" i="3"/>
  <c r="P90" i="3"/>
  <c r="I90" i="3"/>
  <c r="H90" i="3"/>
  <c r="P89" i="3"/>
  <c r="I89" i="3"/>
  <c r="H89" i="3"/>
  <c r="P88" i="3"/>
  <c r="I88" i="3"/>
  <c r="H88" i="3"/>
  <c r="P87" i="3"/>
  <c r="I87" i="3"/>
  <c r="H87" i="3"/>
  <c r="P86" i="3"/>
  <c r="I86" i="3"/>
  <c r="H86" i="3"/>
  <c r="P85" i="3"/>
  <c r="I85" i="3"/>
  <c r="H85" i="3"/>
  <c r="P84" i="3"/>
  <c r="I84" i="3"/>
  <c r="H84" i="3"/>
  <c r="P83" i="3"/>
  <c r="I83" i="3"/>
  <c r="H83" i="3"/>
  <c r="P82" i="3"/>
  <c r="I82" i="3"/>
  <c r="H82" i="3"/>
  <c r="P81" i="3"/>
  <c r="I81" i="3"/>
  <c r="H81" i="3"/>
  <c r="P80" i="3"/>
  <c r="I80" i="3"/>
  <c r="H80" i="3"/>
  <c r="P79" i="3"/>
  <c r="I79" i="3"/>
  <c r="H79" i="3"/>
  <c r="P78" i="3"/>
  <c r="I78" i="3"/>
  <c r="H78" i="3"/>
  <c r="P77" i="3"/>
  <c r="I77" i="3"/>
  <c r="H77" i="3"/>
  <c r="P76" i="3"/>
  <c r="I76" i="3"/>
  <c r="H76" i="3"/>
  <c r="P75" i="3"/>
  <c r="I75" i="3"/>
  <c r="H75" i="3"/>
  <c r="P74" i="3"/>
  <c r="I74" i="3"/>
  <c r="H74" i="3"/>
  <c r="P73" i="3"/>
  <c r="I73" i="3"/>
  <c r="H73" i="3"/>
  <c r="P72" i="3"/>
  <c r="I72" i="3"/>
  <c r="H72" i="3"/>
  <c r="P71" i="3"/>
  <c r="I71" i="3"/>
  <c r="H71" i="3"/>
  <c r="P70" i="3"/>
  <c r="I70" i="3"/>
  <c r="H70" i="3"/>
  <c r="P69" i="3"/>
  <c r="I69" i="3"/>
  <c r="H69" i="3"/>
  <c r="P68" i="3"/>
  <c r="I68" i="3"/>
  <c r="H68" i="3"/>
  <c r="P67" i="3"/>
  <c r="I67" i="3"/>
  <c r="H67" i="3"/>
  <c r="P66" i="3"/>
  <c r="I66" i="3"/>
  <c r="H66" i="3"/>
  <c r="P65" i="3"/>
  <c r="I65" i="3"/>
  <c r="H65" i="3"/>
  <c r="P64" i="3"/>
  <c r="I64" i="3"/>
  <c r="H64" i="3"/>
  <c r="P63" i="3"/>
  <c r="I63" i="3"/>
  <c r="H63" i="3"/>
  <c r="P62" i="3"/>
  <c r="I62" i="3"/>
  <c r="H62" i="3"/>
  <c r="P61" i="3"/>
  <c r="I61" i="3"/>
  <c r="H61" i="3"/>
  <c r="P60" i="3"/>
  <c r="I60" i="3"/>
  <c r="H60" i="3"/>
  <c r="P59" i="3"/>
  <c r="I59" i="3"/>
  <c r="H59" i="3"/>
  <c r="P58" i="3"/>
  <c r="I58" i="3"/>
  <c r="H58" i="3"/>
  <c r="P57" i="3"/>
  <c r="I57" i="3"/>
  <c r="H57" i="3"/>
  <c r="P56" i="3"/>
  <c r="I56" i="3"/>
  <c r="H56" i="3"/>
  <c r="P55" i="3"/>
  <c r="I55" i="3"/>
  <c r="H55" i="3"/>
  <c r="P54" i="3"/>
  <c r="I54" i="3"/>
  <c r="H54" i="3"/>
  <c r="P53" i="3"/>
  <c r="I53" i="3"/>
  <c r="H53" i="3"/>
  <c r="P52" i="3"/>
  <c r="I52" i="3"/>
  <c r="H52" i="3"/>
  <c r="P51" i="3"/>
  <c r="I51" i="3"/>
  <c r="H51" i="3"/>
  <c r="P50" i="3"/>
  <c r="I50" i="3"/>
  <c r="H50" i="3"/>
  <c r="P49" i="3"/>
  <c r="I49" i="3"/>
  <c r="H49" i="3"/>
  <c r="P48" i="3"/>
  <c r="I48" i="3"/>
  <c r="H48" i="3"/>
  <c r="P47" i="3"/>
  <c r="I47" i="3"/>
  <c r="H47" i="3"/>
  <c r="P46" i="3"/>
  <c r="I46" i="3"/>
  <c r="H46" i="3"/>
  <c r="P45" i="3"/>
  <c r="I45" i="3"/>
  <c r="H45" i="3"/>
  <c r="P44" i="3"/>
  <c r="I44" i="3"/>
  <c r="H44" i="3"/>
  <c r="P43" i="3"/>
  <c r="I43" i="3"/>
  <c r="H43" i="3"/>
  <c r="P42" i="3"/>
  <c r="I42" i="3"/>
  <c r="H42" i="3"/>
  <c r="P41" i="3"/>
  <c r="I41" i="3"/>
  <c r="H41" i="3"/>
  <c r="P40" i="3"/>
  <c r="I40" i="3"/>
  <c r="H40" i="3"/>
  <c r="P39" i="3"/>
  <c r="I39" i="3"/>
  <c r="H39" i="3"/>
  <c r="P38" i="3"/>
  <c r="I38" i="3"/>
  <c r="H38" i="3"/>
  <c r="P37" i="3"/>
  <c r="I37" i="3"/>
  <c r="H37" i="3"/>
  <c r="P36" i="3"/>
  <c r="I36" i="3"/>
  <c r="H36" i="3"/>
  <c r="P35" i="3"/>
  <c r="I35" i="3"/>
  <c r="H35" i="3"/>
  <c r="P34" i="3"/>
  <c r="I34" i="3"/>
  <c r="H34" i="3"/>
  <c r="P33" i="3"/>
  <c r="I33" i="3"/>
  <c r="H33" i="3"/>
  <c r="P32" i="3"/>
  <c r="I32" i="3"/>
  <c r="H32" i="3"/>
  <c r="P31" i="3"/>
  <c r="I31" i="3"/>
  <c r="H31" i="3"/>
  <c r="P30" i="3"/>
  <c r="I30" i="3"/>
  <c r="H30" i="3"/>
  <c r="P29" i="3"/>
  <c r="I29" i="3"/>
  <c r="H29" i="3"/>
  <c r="P28" i="3"/>
  <c r="I28" i="3"/>
  <c r="H28" i="3"/>
  <c r="P27" i="3"/>
  <c r="I27" i="3"/>
  <c r="H27" i="3"/>
  <c r="P26" i="3"/>
  <c r="I26" i="3"/>
  <c r="H26" i="3"/>
  <c r="P25" i="3"/>
  <c r="I25" i="3"/>
  <c r="H25" i="3"/>
  <c r="P24" i="3"/>
  <c r="I24" i="3"/>
  <c r="H24" i="3"/>
  <c r="P23" i="3"/>
  <c r="I23" i="3"/>
  <c r="H23" i="3"/>
  <c r="P22" i="3"/>
  <c r="I22" i="3"/>
  <c r="H22" i="3"/>
  <c r="P21" i="3"/>
  <c r="I21" i="3"/>
  <c r="H21" i="3"/>
  <c r="P20" i="3"/>
  <c r="I20" i="3"/>
  <c r="H20" i="3"/>
  <c r="P19" i="3"/>
  <c r="I19" i="3"/>
  <c r="H19" i="3"/>
  <c r="P18" i="3"/>
  <c r="I18" i="3"/>
  <c r="H18" i="3"/>
  <c r="P17" i="3"/>
  <c r="I17" i="3"/>
  <c r="H17" i="3"/>
  <c r="P16" i="3"/>
  <c r="I16" i="3"/>
  <c r="H16" i="3"/>
  <c r="P15" i="3"/>
  <c r="I15" i="3"/>
  <c r="H15" i="3"/>
  <c r="P14" i="3"/>
  <c r="I14" i="3"/>
  <c r="H14" i="3"/>
  <c r="P13" i="3"/>
  <c r="I13" i="3"/>
  <c r="H13" i="3"/>
  <c r="P12" i="3"/>
  <c r="I12" i="3"/>
  <c r="H12" i="3"/>
  <c r="P11" i="3"/>
  <c r="I11" i="3"/>
  <c r="H11" i="3"/>
  <c r="P10" i="3"/>
  <c r="I10" i="3"/>
  <c r="H10" i="3"/>
  <c r="P9" i="3"/>
  <c r="I9" i="3"/>
  <c r="H9" i="3"/>
  <c r="P8" i="3"/>
  <c r="I8" i="3"/>
  <c r="H8" i="3"/>
  <c r="P7" i="3"/>
  <c r="I7" i="3"/>
  <c r="H7" i="3"/>
  <c r="P6" i="3"/>
  <c r="I6" i="3"/>
  <c r="H6" i="3"/>
  <c r="P5" i="3"/>
  <c r="I5" i="3"/>
  <c r="H5" i="3"/>
  <c r="P4" i="3"/>
  <c r="I4" i="3"/>
  <c r="H4" i="3"/>
  <c r="N112" i="2" l="1"/>
  <c r="N53" i="2"/>
  <c r="M53" i="2"/>
  <c r="N142" i="2"/>
  <c r="N72" i="3"/>
  <c r="M142" i="2"/>
  <c r="D22" i="6"/>
  <c r="D21" i="6"/>
  <c r="G20" i="6"/>
  <c r="G19" i="6"/>
  <c r="G18" i="6"/>
  <c r="N141" i="2"/>
  <c r="M141" i="2"/>
  <c r="N140" i="2"/>
  <c r="M140" i="2"/>
  <c r="N139" i="2"/>
  <c r="M139" i="2"/>
  <c r="N138" i="2"/>
  <c r="M138" i="2"/>
  <c r="N137" i="2"/>
  <c r="M137" i="2"/>
  <c r="N136" i="2"/>
  <c r="M136" i="2"/>
  <c r="N135" i="2"/>
  <c r="M135" i="2"/>
  <c r="N134" i="2"/>
  <c r="M134" i="2"/>
  <c r="N133" i="2"/>
  <c r="M133" i="2"/>
  <c r="N132" i="2"/>
  <c r="M132" i="2"/>
  <c r="N131" i="2"/>
  <c r="M131" i="2"/>
  <c r="N130" i="2"/>
  <c r="M130" i="2"/>
  <c r="N129" i="2"/>
  <c r="M129" i="2"/>
  <c r="N128" i="2"/>
  <c r="M128" i="2"/>
  <c r="N127" i="2"/>
  <c r="M127" i="2"/>
  <c r="N126" i="2"/>
  <c r="M126" i="2"/>
  <c r="N125" i="2"/>
  <c r="M125" i="2"/>
  <c r="N124" i="2"/>
  <c r="M124" i="2"/>
  <c r="N123" i="2"/>
  <c r="M123" i="2"/>
  <c r="N122" i="2"/>
  <c r="M122" i="2"/>
  <c r="N121" i="2"/>
  <c r="M121" i="2"/>
  <c r="N120" i="2"/>
  <c r="M120" i="2"/>
  <c r="N119" i="2"/>
  <c r="M119" i="2"/>
  <c r="N118" i="2"/>
  <c r="M118" i="2"/>
  <c r="N117" i="2"/>
  <c r="M117" i="2"/>
  <c r="N116" i="2"/>
  <c r="M116" i="2"/>
  <c r="N115" i="2"/>
  <c r="M115" i="2"/>
  <c r="N114" i="2"/>
  <c r="M114" i="2"/>
  <c r="N113" i="2"/>
  <c r="M113" i="2"/>
  <c r="M82" i="2"/>
  <c r="N81" i="2"/>
  <c r="M81" i="2"/>
  <c r="M78" i="2"/>
  <c r="N77" i="2"/>
  <c r="M77" i="2"/>
  <c r="N74" i="2"/>
  <c r="M74" i="2"/>
  <c r="N72" i="2"/>
  <c r="N70" i="2"/>
  <c r="M70" i="2"/>
  <c r="N68" i="2"/>
  <c r="M68" i="2"/>
  <c r="N66" i="2"/>
  <c r="M66" i="2"/>
  <c r="M63" i="2"/>
  <c r="N62" i="2"/>
  <c r="M62" i="2"/>
  <c r="N60" i="2"/>
  <c r="M60" i="2"/>
  <c r="N59" i="2"/>
  <c r="M59" i="2"/>
  <c r="N57" i="2"/>
  <c r="M57" i="2"/>
  <c r="N55" i="2"/>
  <c r="M55" i="2"/>
  <c r="N54" i="2"/>
  <c r="N116" i="3"/>
  <c r="N113" i="3"/>
  <c r="N110" i="3"/>
  <c r="N107" i="3"/>
  <c r="N106" i="3"/>
  <c r="N104" i="3"/>
  <c r="N101" i="3"/>
  <c r="N98" i="3"/>
  <c r="N97" i="3"/>
  <c r="N95" i="3"/>
  <c r="N92" i="3"/>
  <c r="N90" i="3"/>
  <c r="N89" i="3"/>
  <c r="N78" i="3"/>
  <c r="N75" i="3"/>
  <c r="N74" i="3"/>
  <c r="N71" i="3"/>
  <c r="N69" i="3"/>
  <c r="N64" i="3"/>
  <c r="N63" i="3"/>
  <c r="N60" i="3"/>
  <c r="N55" i="3"/>
  <c r="N52" i="3"/>
  <c r="N50" i="3"/>
  <c r="N43" i="3"/>
  <c r="N41" i="3"/>
  <c r="N39" i="3"/>
  <c r="N37" i="3"/>
  <c r="N29" i="3"/>
  <c r="N25" i="3"/>
  <c r="N24" i="3"/>
  <c r="N22" i="3"/>
  <c r="N21" i="3"/>
  <c r="N15" i="3"/>
  <c r="N12" i="3"/>
  <c r="N4" i="3"/>
  <c r="M148" i="2"/>
  <c r="N146" i="2"/>
  <c r="M146" i="2"/>
  <c r="M145" i="2"/>
  <c r="N144" i="2"/>
  <c r="N143" i="2"/>
  <c r="M112" i="2"/>
  <c r="N111" i="2"/>
  <c r="M111" i="2"/>
  <c r="N110" i="2"/>
  <c r="M110" i="2"/>
  <c r="N109" i="2"/>
  <c r="M109" i="2"/>
  <c r="N108" i="2"/>
  <c r="M108" i="2"/>
  <c r="N107" i="2"/>
  <c r="M107" i="2"/>
  <c r="N106" i="2"/>
  <c r="M106" i="2"/>
  <c r="N105" i="2"/>
  <c r="M105" i="2"/>
  <c r="N104" i="2"/>
  <c r="M104" i="2"/>
  <c r="N103" i="2"/>
  <c r="M103" i="2"/>
  <c r="N102" i="2"/>
  <c r="M102" i="2"/>
  <c r="N101" i="2"/>
  <c r="M101" i="2"/>
  <c r="N100" i="2"/>
  <c r="M100" i="2"/>
  <c r="N99" i="2"/>
  <c r="M99" i="2"/>
  <c r="N98" i="2"/>
  <c r="M98" i="2"/>
  <c r="N97" i="2"/>
  <c r="M97" i="2"/>
  <c r="N96" i="2"/>
  <c r="M96" i="2"/>
  <c r="N95" i="2"/>
  <c r="M95" i="2"/>
  <c r="N94" i="2"/>
  <c r="M94" i="2"/>
  <c r="N93" i="2"/>
  <c r="M93" i="2"/>
  <c r="N92" i="2"/>
  <c r="M92" i="2"/>
  <c r="N91" i="2"/>
  <c r="M91" i="2"/>
  <c r="N90" i="2"/>
  <c r="M90" i="2"/>
  <c r="N89" i="2"/>
  <c r="M89" i="2"/>
  <c r="N88" i="2"/>
  <c r="M88" i="2"/>
  <c r="N87" i="2"/>
  <c r="M87" i="2"/>
  <c r="N86" i="2"/>
  <c r="M86" i="2"/>
  <c r="N85" i="2"/>
  <c r="M85" i="2"/>
  <c r="N84" i="2"/>
  <c r="M84" i="2"/>
  <c r="N83" i="2"/>
  <c r="M83" i="2"/>
  <c r="N82" i="2"/>
  <c r="N80" i="2"/>
  <c r="M80" i="2"/>
  <c r="N79" i="2"/>
  <c r="M79" i="2"/>
  <c r="N78" i="2"/>
  <c r="N76" i="2"/>
  <c r="M76" i="2"/>
  <c r="N75" i="2"/>
  <c r="M75" i="2"/>
  <c r="N73" i="2"/>
  <c r="M73" i="2"/>
  <c r="M72" i="2"/>
  <c r="N71" i="2"/>
  <c r="M71" i="2"/>
  <c r="N69" i="2"/>
  <c r="M69" i="2"/>
  <c r="N67" i="2"/>
  <c r="M67" i="2"/>
  <c r="N65" i="2"/>
  <c r="M65" i="2"/>
  <c r="N64" i="2"/>
  <c r="M64" i="2"/>
  <c r="N63" i="2"/>
  <c r="N61" i="2"/>
  <c r="M61" i="2"/>
  <c r="N58" i="2"/>
  <c r="M58" i="2"/>
  <c r="N56" i="2"/>
  <c r="M56" i="2"/>
  <c r="M54" i="2"/>
  <c r="N119" i="3"/>
  <c r="N114" i="3"/>
  <c r="N109" i="3"/>
  <c r="N102" i="3"/>
  <c r="N99" i="3"/>
  <c r="N96" i="3"/>
  <c r="N93" i="3"/>
  <c r="N87" i="3"/>
  <c r="N85" i="3"/>
  <c r="N80" i="3"/>
  <c r="N77" i="3"/>
  <c r="N62" i="3"/>
  <c r="N57" i="3"/>
  <c r="N56" i="3"/>
  <c r="N49" i="3"/>
  <c r="N48" i="3"/>
  <c r="N44" i="3"/>
  <c r="N42" i="3"/>
  <c r="N40" i="3"/>
  <c r="N31" i="3"/>
  <c r="N30" i="3"/>
  <c r="N26" i="3"/>
  <c r="N7" i="3"/>
  <c r="N91" i="3"/>
  <c r="N84" i="3"/>
  <c r="N83" i="3"/>
  <c r="N73" i="3"/>
  <c r="N65" i="3"/>
  <c r="N59" i="3"/>
  <c r="N58" i="3"/>
  <c r="N38" i="3"/>
  <c r="N33" i="3"/>
  <c r="N28" i="3"/>
  <c r="N16" i="3"/>
  <c r="N10" i="3"/>
  <c r="N153" i="2"/>
  <c r="M144" i="2"/>
  <c r="N52" i="2"/>
  <c r="M52" i="2"/>
  <c r="N51" i="2"/>
  <c r="M51" i="2"/>
  <c r="N50" i="2"/>
  <c r="M50" i="2"/>
  <c r="N49" i="2"/>
  <c r="M49" i="2"/>
  <c r="N48" i="2"/>
  <c r="M48" i="2"/>
  <c r="N47" i="2"/>
  <c r="M47" i="2"/>
  <c r="N46" i="2"/>
  <c r="M46" i="2"/>
  <c r="N45" i="2"/>
  <c r="M45" i="2"/>
  <c r="N44" i="2"/>
  <c r="M44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M37" i="2"/>
  <c r="N36" i="2"/>
  <c r="M36" i="2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N5" i="2"/>
  <c r="M5" i="2"/>
  <c r="N4" i="2"/>
  <c r="M4" i="2"/>
  <c r="D18" i="1"/>
  <c r="C18" i="1"/>
  <c r="B18" i="1"/>
  <c r="N123" i="3"/>
  <c r="N122" i="3"/>
  <c r="N121" i="3"/>
  <c r="N120" i="3"/>
  <c r="N118" i="3"/>
  <c r="N117" i="3"/>
  <c r="N115" i="3"/>
  <c r="N112" i="3"/>
  <c r="N111" i="3"/>
  <c r="N108" i="3"/>
  <c r="N105" i="3"/>
  <c r="N103" i="3"/>
  <c r="N100" i="3"/>
  <c r="N94" i="3"/>
  <c r="N88" i="3"/>
  <c r="N86" i="3"/>
  <c r="N82" i="3"/>
  <c r="N81" i="3"/>
  <c r="N79" i="3"/>
  <c r="N76" i="3"/>
  <c r="N70" i="3"/>
  <c r="N68" i="3"/>
  <c r="N61" i="3"/>
  <c r="N54" i="3"/>
  <c r="N53" i="3"/>
  <c r="N51" i="3"/>
  <c r="N46" i="3"/>
  <c r="N45" i="3"/>
  <c r="N36" i="3"/>
  <c r="N18" i="3"/>
  <c r="N17" i="3"/>
  <c r="N14" i="3"/>
  <c r="N5" i="3"/>
  <c r="N151" i="2"/>
  <c r="M150" i="2"/>
  <c r="M147" i="2"/>
  <c r="M143" i="2"/>
  <c r="J11" i="5"/>
  <c r="N152" i="2"/>
  <c r="M151" i="2"/>
  <c r="N147" i="2"/>
  <c r="N67" i="3"/>
  <c r="N66" i="3"/>
  <c r="N47" i="3"/>
  <c r="N35" i="3"/>
  <c r="N34" i="3"/>
  <c r="N32" i="3"/>
  <c r="N27" i="3"/>
  <c r="N23" i="3"/>
  <c r="N20" i="3"/>
  <c r="N19" i="3"/>
  <c r="N13" i="3"/>
  <c r="N11" i="3"/>
  <c r="N9" i="3"/>
  <c r="N8" i="3"/>
  <c r="N6" i="3"/>
  <c r="N145" i="2"/>
  <c r="M153" i="2"/>
  <c r="N148" i="2"/>
  <c r="N11" i="5"/>
  <c r="M152" i="2"/>
  <c r="N150" i="2"/>
  <c r="N149" i="2"/>
  <c r="M149" i="2"/>
  <c r="D19" i="6" l="1"/>
  <c r="D20" i="6"/>
  <c r="E18" i="1"/>
</calcChain>
</file>

<file path=xl/sharedStrings.xml><?xml version="1.0" encoding="utf-8"?>
<sst xmlns="http://schemas.openxmlformats.org/spreadsheetml/2006/main" count="2531" uniqueCount="475">
  <si>
    <t>← Back to Project Overview</t>
  </si>
  <si>
    <t>#</t>
  </si>
  <si>
    <t>Task / Technique</t>
  </si>
  <si>
    <t>Phase</t>
  </si>
  <si>
    <t>Assigned To</t>
  </si>
  <si>
    <t>Department</t>
  </si>
  <si>
    <t>Start Date</t>
  </si>
  <si>
    <t>End Date</t>
  </si>
  <si>
    <t>Duration (Days)</t>
  </si>
  <si>
    <t>Status</t>
  </si>
  <si>
    <t>% Complete</t>
  </si>
  <si>
    <t>Priority</t>
  </si>
  <si>
    <t>Daily Rate (₹)</t>
  </si>
  <si>
    <t>Hours</t>
  </si>
  <si>
    <t>Revenue (₹)</t>
  </si>
  <si>
    <t>Notes</t>
  </si>
  <si>
    <t>Flag</t>
  </si>
  <si>
    <t>Remove Duplicates — CRM Export Cleaning</t>
  </si>
  <si>
    <t>Phase 1</t>
  </si>
  <si>
    <t>Rahul Mehta</t>
  </si>
  <si>
    <t>BI &amp; Analytics</t>
  </si>
  <si>
    <t>High</t>
  </si>
  <si>
    <t>Extra spaces detected</t>
  </si>
  <si>
    <t>Trim Extra Spaces — Customer Name Import</t>
  </si>
  <si>
    <t>Phase 2</t>
  </si>
  <si>
    <t>Sunita Verma</t>
  </si>
  <si>
    <t>Business Intel.</t>
  </si>
  <si>
    <t>Critical</t>
  </si>
  <si>
    <t>Standardize Text Case — Region Codes</t>
  </si>
  <si>
    <t>Phase 3</t>
  </si>
  <si>
    <t>Data Platform</t>
  </si>
  <si>
    <t>—</t>
  </si>
  <si>
    <t>Fix Date Formats — Legacy System Dates</t>
  </si>
  <si>
    <t>Phase 4</t>
  </si>
  <si>
    <t>Quality Assur.</t>
  </si>
  <si>
    <t>Pending review</t>
  </si>
  <si>
    <t>Handle Missing Values — Customer Database</t>
  </si>
  <si>
    <t>Arjun Pillai</t>
  </si>
  <si>
    <t>PMO</t>
  </si>
  <si>
    <t>Split Combined Columns — Contact Database</t>
  </si>
  <si>
    <t>Remove Non-Numeric Chars — Revenue Data</t>
  </si>
  <si>
    <t>Karan Malhotra</t>
  </si>
  <si>
    <t>Validate Data Ranges — HR Age Dataset</t>
  </si>
  <si>
    <t>Low</t>
  </si>
  <si>
    <t>Standardize Category Labels — Product SKU</t>
  </si>
  <si>
    <t>Siddharth Rao</t>
  </si>
  <si>
    <t>Combine &amp; Reconcile Columns — Address</t>
  </si>
  <si>
    <t>Pooja Iyer</t>
  </si>
  <si>
    <t>Meera Pillai</t>
  </si>
  <si>
    <t>Check formula</t>
  </si>
  <si>
    <t>Ananya Singh</t>
  </si>
  <si>
    <t>Medium</t>
  </si>
  <si>
    <t>Priya Sharma</t>
  </si>
  <si>
    <t>Lakshmi Nair</t>
  </si>
  <si>
    <t>Amit Roy</t>
  </si>
  <si>
    <t>Verified OK</t>
  </si>
  <si>
    <t>Deepa Krishnan</t>
  </si>
  <si>
    <t>Vikram Nair</t>
  </si>
  <si>
    <t>Neha Joshi</t>
  </si>
  <si>
    <t>Needs validation</t>
  </si>
  <si>
    <t>Rohit Gupta</t>
  </si>
  <si>
    <t>EXCEL DASHBOARD  |  Project Management Gantt Chart &amp; Resource Planner</t>
  </si>
  <si>
    <t>KEY PROJECT METRICS</t>
  </si>
  <si>
    <t>Total Techniques</t>
  </si>
  <si>
    <t>Completed</t>
  </si>
  <si>
    <t>In Progress</t>
  </si>
  <si>
    <t>Not Started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</si>
  <si>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</si>
  <si>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</si>
  <si>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</si>
  <si>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</si>
  <si>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</si>
  <si>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</si>
  <si>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</si>
  <si>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</si>
  <si>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>→ Open Raw Data (153 rows)</t>
  </si>
  <si>
    <t>Cleaned Data (153 rows)</t>
  </si>
  <si>
    <t>→ Open Cleaned Data (153 rows)</t>
  </si>
  <si>
    <t>Gantt Chart</t>
  </si>
  <si>
    <t>PLAN</t>
  </si>
  <si>
    <t>→ Open Gantt Chart</t>
  </si>
  <si>
    <t>Resource Planner</t>
  </si>
  <si>
    <t>TEAM</t>
  </si>
  <si>
    <t>→ Open Resource Planner</t>
  </si>
  <si>
    <t>Task Tracker</t>
  </si>
  <si>
    <t>TRACK</t>
  </si>
  <si>
    <t>→ Open Task Tracker</t>
  </si>
  <si>
    <t>Data Reference</t>
  </si>
  <si>
    <t>REF</t>
  </si>
  <si>
    <t>→ Open Data Reference</t>
  </si>
  <si>
    <t>10 DATA CLEANING TECHNIQUES — OVERVIEW</t>
  </si>
  <si>
    <t>No.</t>
  </si>
  <si>
    <t>Technique</t>
  </si>
  <si>
    <t>Problem Solved</t>
  </si>
  <si>
    <t>▶ Live Formula (click me!)</t>
  </si>
  <si>
    <t>Sample Input</t>
  </si>
  <si>
    <t>CRM Export Cleaning</t>
  </si>
  <si>
    <t>ORD-1001</t>
  </si>
  <si>
    <t>Customer Name Import</t>
  </si>
  <si>
    <t xml:space="preserve">  Priya  Sharma  </t>
  </si>
  <si>
    <t>Region Codes</t>
  </si>
  <si>
    <t>north west</t>
  </si>
  <si>
    <t>Legacy System Dates</t>
  </si>
  <si>
    <t>2024-01-29</t>
  </si>
  <si>
    <t>Customer Database</t>
  </si>
  <si>
    <t>Contact Database</t>
  </si>
  <si>
    <t>Revenue Data</t>
  </si>
  <si>
    <t>Rs. 1,50,000</t>
  </si>
  <si>
    <t>HR Age Dataset</t>
  </si>
  <si>
    <t>Product SKU</t>
  </si>
  <si>
    <t>electronics</t>
  </si>
  <si>
    <t>Address</t>
  </si>
  <si>
    <t>123 Main St</t>
  </si>
  <si>
    <t>Revenue (Raw)</t>
  </si>
  <si>
    <t>PHASE1</t>
  </si>
  <si>
    <t>2024-02-06</t>
  </si>
  <si>
    <t>40</t>
  </si>
  <si>
    <t>3000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</si>
  <si>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</si>
  <si>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</si>
  <si>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</si>
  <si>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</si>
  <si>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</si>
  <si>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</si>
  <si>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</si>
  <si>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</si>
  <si>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</si>
  <si>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</si>
  <si>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</si>
  <si>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</si>
  <si>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</si>
  <si>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</si>
  <si>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</si>
  <si>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</si>
  <si>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</si>
  <si>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</si>
  <si>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</si>
  <si>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</si>
  <si>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</si>
  <si>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</si>
  <si>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</si>
  <si>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</si>
  <si>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</si>
  <si>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</si>
  <si>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</si>
  <si>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biz intel</t>
  </si>
  <si>
    <t>02/18/2024</t>
  </si>
  <si>
    <t>Rs. 4,000</t>
  </si>
  <si>
    <t>PHASE 1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</si>
  <si>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</si>
  <si>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</si>
  <si>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</si>
  <si>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</si>
  <si>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</si>
  <si>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</si>
  <si>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</si>
  <si>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</si>
  <si>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</si>
  <si>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</si>
  <si>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</si>
  <si>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</si>
  <si>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</si>
  <si>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</si>
  <si>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</si>
  <si>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</si>
  <si>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BUSINESS INTEL.</t>
  </si>
  <si>
    <t>2024-04-22</t>
  </si>
  <si>
    <t>2024-02-01</t>
  </si>
  <si>
    <t>0%</t>
  </si>
  <si>
    <t>12345</t>
  </si>
  <si>
    <t>data platform</t>
  </si>
  <si>
    <t>22-02-2024</t>
  </si>
  <si>
    <t>100</t>
  </si>
  <si>
    <t>MEDIUM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</si>
  <si>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</si>
  <si>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</si>
  <si>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</si>
  <si>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</si>
  <si>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</si>
  <si>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</si>
  <si>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</si>
  <si>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</si>
  <si>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</si>
  <si>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Not Available</t>
  </si>
  <si>
    <t>PH 5</t>
  </si>
  <si>
    <t>SUNITA VERMA</t>
  </si>
  <si>
    <t>2024-01-21</t>
  </si>
  <si>
    <t>HIGH</t>
  </si>
  <si>
    <t>02/06/2024</t>
  </si>
  <si>
    <t>75%</t>
  </si>
  <si>
    <t>PHASE3</t>
  </si>
  <si>
    <t>NEHA JOSHI</t>
  </si>
  <si>
    <t>18-04-2024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</si>
  <si>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</si>
  <si>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</si>
  <si>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</si>
  <si>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</si>
  <si>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</si>
  <si>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</si>
  <si>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</si>
  <si>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</si>
  <si>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</si>
  <si>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</si>
  <si>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</si>
  <si>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</si>
  <si>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</si>
  <si>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</si>
  <si>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</si>
  <si>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</si>
  <si>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</si>
  <si>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</si>
  <si>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</si>
  <si>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</si>
  <si>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</si>
  <si>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</si>
  <si>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</si>
  <si>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</si>
  <si>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</si>
  <si>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</si>
  <si>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</si>
  <si>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</si>
  <si>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</si>
  <si>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</si>
  <si>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</si>
  <si>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</si>
  <si>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</si>
  <si>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</si>
  <si>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</si>
  <si>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</si>
  <si>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</si>
  <si>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</si>
  <si>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</si>
  <si>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</si>
  <si>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</si>
  <si>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</si>
  <si>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</si>
  <si>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</si>
  <si>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</si>
  <si>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</si>
  <si>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</si>
  <si>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</si>
  <si>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</si>
  <si>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</si>
  <si>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</si>
  <si>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</si>
  <si>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</si>
  <si>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</si>
  <si>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</si>
  <si>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</si>
  <si>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</si>
  <si>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</si>
  <si>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</si>
  <si>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</si>
  <si>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</si>
  <si>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</si>
  <si>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</si>
  <si>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</si>
  <si>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</si>
  <si>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</si>
  <si>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</si>
  <si>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</si>
  <si>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</si>
  <si>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</si>
  <si>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</si>
  <si>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</si>
  <si>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</si>
  <si>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</si>
  <si>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</si>
  <si>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</si>
  <si>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</si>
  <si>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</si>
  <si>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</si>
  <si>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</si>
  <si>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</si>
  <si>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</si>
  <si>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</si>
  <si>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</si>
  <si>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</si>
  <si>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</si>
  <si>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</si>
  <si>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</si>
  <si>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</si>
  <si>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</si>
  <si>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</si>
  <si>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</si>
  <si>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</si>
  <si>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</si>
  <si>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</si>
  <si>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</si>
  <si>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</si>
  <si>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</si>
  <si>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</si>
  <si>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</si>
  <si>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</si>
  <si>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</si>
  <si>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</si>
  <si>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</si>
  <si>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</si>
  <si>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</si>
  <si>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</si>
  <si>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</si>
  <si>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</si>
  <si>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</si>
  <si>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</si>
  <si>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</si>
  <si>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</si>
  <si>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</si>
  <si>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</si>
  <si>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</si>
  <si>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</si>
  <si>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</si>
  <si>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</si>
  <si>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</si>
  <si>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</si>
  <si>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</si>
  <si>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</si>
  <si>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</si>
  <si>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</si>
  <si>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</si>
  <si>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</si>
  <si>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</si>
  <si>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</si>
  <si>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</si>
  <si>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</si>
  <si>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</si>
  <si>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</si>
  <si>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</si>
  <si>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</si>
  <si>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</si>
  <si>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</si>
  <si>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</si>
  <si>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</si>
  <si>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</si>
  <si>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</si>
  <si>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</si>
  <si>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</si>
  <si>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</si>
  <si>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</si>
  <si>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</si>
  <si>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</si>
  <si>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</si>
  <si>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</si>
  <si>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</si>
  <si>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</si>
  <si>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</si>
  <si>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</si>
  <si>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</si>
  <si>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</si>
  <si>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</si>
  <si>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</si>
  <si>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</si>
  <si>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</si>
  <si>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</si>
  <si>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</si>
  <si>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</si>
  <si>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</si>
  <si>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</si>
  <si>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</si>
  <si>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</si>
  <si>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</si>
  <si>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Resource Name</t>
  </si>
  <si>
    <t>Role</t>
  </si>
  <si>
    <t>Techniques Assigned</t>
  </si>
  <si>
    <t>Ph.1</t>
  </si>
  <si>
    <t>Ph.2</t>
  </si>
  <si>
    <t>Ph.3</t>
  </si>
  <si>
    <t>Ph.4</t>
  </si>
  <si>
    <t>Total Tasks</t>
  </si>
  <si>
    <t>Hours Alloc.</t>
  </si>
  <si>
    <t>Availability %</t>
  </si>
  <si>
    <t>Utilisation %</t>
  </si>
  <si>
    <t>Senior Data Analyst</t>
  </si>
  <si>
    <t>COUNTIF, TRIM, CLEAN, VLOOKUP, ISBLANK</t>
  </si>
  <si>
    <t>Active</t>
  </si>
  <si>
    <t>BI Developer</t>
  </si>
  <si>
    <t>UPPER/LOWER/PROPER, TEXTSPLIT, LEFT/MID</t>
  </si>
  <si>
    <t>Data Engineer</t>
  </si>
  <si>
    <t>DATEVALUE, VALUE, DATE, TEXTJOIN</t>
  </si>
  <si>
    <t>QA Analyst</t>
  </si>
  <si>
    <t>IFERROR, ISBLANK, AVERAGEIFS, IF, AND</t>
  </si>
  <si>
    <t>Project Manager</t>
  </si>
  <si>
    <t>Project Planning, Reporting, Stakeholder</t>
  </si>
  <si>
    <t>Junior Data Analyst</t>
  </si>
  <si>
    <t>TRIM, CLEAN, VLOOKUP, COUNTIF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</si>
  <si>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</si>
  <si>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</si>
  <si>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</si>
  <si>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</si>
  <si>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</si>
  <si>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</si>
  <si>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Util %</t>
  </si>
  <si>
    <t>Technique / Task</t>
  </si>
  <si>
    <t>Duration</t>
  </si>
  <si>
    <t>Notes / Formula Used</t>
  </si>
  <si>
    <t>Dependency</t>
  </si>
  <si>
    <t>Review Date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</si>
  <si>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</si>
  <si>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</si>
  <si>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</si>
  <si>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</si>
  <si>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</si>
  <si>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</si>
  <si>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</si>
  <si>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</si>
  <si>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</si>
  <si>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</si>
  <si>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</si>
  <si>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</si>
  <si>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</si>
  <si>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</si>
  <si>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</si>
  <si>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</si>
  <si>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</si>
  <si>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</si>
  <si>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</si>
  <si>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</si>
  <si>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</si>
  <si>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</si>
  <si>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</si>
  <si>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</si>
  <si>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</si>
  <si>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</si>
  <si>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</si>
  <si>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Count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</si>
  <si>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</si>
  <si>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</si>
  <si>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</si>
  <si>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</si>
  <si>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</si>
  <si>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</si>
  <si>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</si>
  <si>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</si>
  <si>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</si>
  <si>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</si>
  <si>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</si>
  <si>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</si>
  <si>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</si>
  <si>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On-track tasks ratio x 100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</si>
  <si>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</si>
  <si>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</si>
  <si>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</si>
  <si>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</si>
  <si>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</si>
  <si>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</si>
  <si>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</si>
  <si>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</si>
  <si>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</si>
  <si>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</si>
  <si>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</si>
  <si>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</si>
  <si>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</si>
  <si>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</si>
  <si>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</si>
  <si>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</si>
  <si>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</si>
  <si>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</si>
  <si>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</si>
  <si>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</si>
  <si>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</si>
  <si>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</si>
  <si>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</si>
  <si>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</si>
  <si>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 xml:space="preserve">  DASHBOARD READINESS CHECKLIST — Pre-Deployment Quality Gate  |  Verify all 10 items before connecting cleaned dataset to the Excel Dashboard</t>
  </si>
  <si>
    <t>RESOURCE ALLOCATION PLANNER — Data Cleaning Project  |  Team capacity, task assignments, workload &amp; availability — Jan to Jun 2024</t>
  </si>
  <si>
    <t>TASK TRACKER — Data Cleaning for Excel Dashboard  |  Detailed task log with formulas, dependencies, review dates &amp; completion tracking</t>
  </si>
  <si>
    <t>GANTT CHART — Data Cleaning for Excel Dashboard Development  |  January 2024 – June 2024  |  4 Phases  |  10 Techniques</t>
  </si>
  <si>
    <t xml:space="preserve"> CLEANED DATA — 120 Records (Standardised &amp; Validated)  |  Project Management Dashboard</t>
  </si>
  <si>
    <t xml:space="preserve"> RAW DATA — 153 Records (Uncleaned with Null/Wrong Values)  |  Project Management Dashboard</t>
  </si>
  <si>
    <t xml:space="preserve"> 150 uncleaned records — messy names, dates, revenue &amp; formats</t>
  </si>
  <si>
    <t xml:space="preserve"> 150 standardised &amp; validated records with cleaning flags</t>
  </si>
  <si>
    <t xml:space="preserve">  Full 26-week Gantt across 4 phases with colour-coded bars</t>
  </si>
  <si>
    <t xml:space="preserve"> 2-person team: allocation, utilisation &amp; workload by phase</t>
  </si>
  <si>
    <t xml:space="preserve"> Detailed task log with formulas, dependencies &amp; review dates</t>
  </si>
  <si>
    <t xml:space="preserve"> Before/after raw→clean examples for all 10 techniques</t>
  </si>
  <si>
    <t>Live Formula (click me!)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</si>
</sst>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42" x14ac:knownFonts="1">
    <font>
      <sz val="11"/>
      <color theme="1"/>
      <name val="Calibri"/>
      <family val="2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u/>
      <sz val="11"/>
      <color theme="10"/>
      <name val="Calibri"/>
      <family val="2"/>
      <charset val="1"/>
    </font>
    <font>
      <u/>
      <sz val="18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A252F"/>
        <bgColor rgb="FF10174E"/>
      </patternFill>
    </fill>
    <fill>
      <patternFill patternType="solid">
        <fgColor rgb="FF2980B9"/>
        <bgColor rgb="FF196EBF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EEF2F7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EAECEE"/>
        <bgColor rgb="FFE8ECF5"/>
      </patternFill>
    </fill>
    <fill>
      <patternFill patternType="solid">
        <fgColor rgb="FF1A9C3E"/>
        <bgColor rgb="FF1A6B1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0392B"/>
      </patternFill>
    </fill>
    <fill>
      <patternFill patternType="solid">
        <fgColor rgb="FF1A5276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darkGray">
        <fgColor rgb="FF1A252F"/>
        <bgColor rgb="FF10174E"/>
      </patternFill>
    </fill>
    <fill>
      <patternFill patternType="solid">
        <fgColor rgb="FFEEF2F7"/>
        <bgColor rgb="FFF0F0F0"/>
      </patternFill>
    </fill>
    <fill>
      <patternFill patternType="darkGray">
        <fgColor rgb="FF196EBF"/>
        <bgColor rgb="FF2980B9"/>
      </patternFill>
    </fill>
    <fill>
      <patternFill patternType="solid">
        <fgColor rgb="FFD4700A"/>
        <bgColor rgb="FFED7D31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A9C3E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D7D31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0392B"/>
        <bgColor rgb="FFCC3300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8F9FA"/>
      </patternFill>
    </fill>
  </fills>
  <borders count="18">
    <border>
      <left/>
      <right/>
      <top/>
      <bottom/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6FA5"/>
      </left>
      <right style="thin">
        <color rgb="FF4A6FA5"/>
      </right>
      <top style="thin">
        <color rgb="FF4A6FA5"/>
      </top>
      <bottom style="thin">
        <color rgb="FF4A6FA5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8" fillId="0" borderId="0"/>
  </cellStyleXfs>
  <cellXfs count="193">
    <xf numFmtId="0" fontId="0" fillId="0" borderId="0" xfId="0"/>
    <xf numFmtId="0" fontId="3" fillId="5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8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/>
    </xf>
    <xf numFmtId="0" fontId="13" fillId="15" borderId="4" xfId="0" applyFont="1" applyFill="1" applyBorder="1" applyAlignment="1">
      <alignment horizontal="left" vertical="center" indent="1"/>
    </xf>
    <xf numFmtId="0" fontId="14" fillId="16" borderId="5" xfId="0" applyFont="1" applyFill="1" applyBorder="1" applyAlignment="1">
      <alignment horizontal="left" vertical="center" indent="1"/>
    </xf>
    <xf numFmtId="0" fontId="11" fillId="9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left" vertical="center"/>
    </xf>
    <xf numFmtId="0" fontId="12" fillId="9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left" vertical="center"/>
    </xf>
    <xf numFmtId="0" fontId="1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left" vertical="center"/>
    </xf>
    <xf numFmtId="0" fontId="16" fillId="10" borderId="2" xfId="0" applyFont="1" applyFill="1" applyBorder="1" applyAlignment="1">
      <alignment horizontal="center" vertical="center"/>
    </xf>
    <xf numFmtId="3" fontId="13" fillId="15" borderId="4" xfId="0" applyNumberFormat="1" applyFont="1" applyFill="1" applyBorder="1" applyAlignment="1">
      <alignment horizontal="left" vertical="center" indent="1"/>
    </xf>
    <xf numFmtId="0" fontId="17" fillId="10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left" vertical="center"/>
    </xf>
    <xf numFmtId="0" fontId="18" fillId="10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/>
    </xf>
    <xf numFmtId="0" fontId="21" fillId="7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left" vertical="center"/>
    </xf>
    <xf numFmtId="0" fontId="21" fillId="12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left" vertical="center"/>
    </xf>
    <xf numFmtId="164" fontId="4" fillId="19" borderId="2" xfId="0" applyNumberFormat="1" applyFont="1" applyFill="1" applyBorder="1" applyAlignment="1">
      <alignment horizontal="center" vertical="center"/>
    </xf>
    <xf numFmtId="9" fontId="4" fillId="19" borderId="2" xfId="0" applyNumberFormat="1" applyFont="1" applyFill="1" applyBorder="1" applyAlignment="1">
      <alignment horizontal="center" vertical="center"/>
    </xf>
    <xf numFmtId="165" fontId="4" fillId="19" borderId="2" xfId="0" applyNumberFormat="1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left" vertical="center"/>
    </xf>
    <xf numFmtId="164" fontId="4" fillId="20" borderId="2" xfId="0" applyNumberFormat="1" applyFont="1" applyFill="1" applyBorder="1" applyAlignment="1">
      <alignment horizontal="center" vertical="center"/>
    </xf>
    <xf numFmtId="9" fontId="4" fillId="20" borderId="2" xfId="0" applyNumberFormat="1" applyFont="1" applyFill="1" applyBorder="1" applyAlignment="1">
      <alignment horizontal="center" vertical="center"/>
    </xf>
    <xf numFmtId="165" fontId="4" fillId="20" borderId="2" xfId="0" applyNumberFormat="1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left" vertical="center"/>
    </xf>
    <xf numFmtId="164" fontId="4" fillId="21" borderId="2" xfId="0" applyNumberFormat="1" applyFont="1" applyFill="1" applyBorder="1" applyAlignment="1">
      <alignment horizontal="center" vertical="center"/>
    </xf>
    <xf numFmtId="9" fontId="4" fillId="21" borderId="2" xfId="0" applyNumberFormat="1" applyFont="1" applyFill="1" applyBorder="1" applyAlignment="1">
      <alignment horizontal="center" vertical="center"/>
    </xf>
    <xf numFmtId="165" fontId="4" fillId="21" borderId="2" xfId="0" applyNumberFormat="1" applyFont="1" applyFill="1" applyBorder="1" applyAlignment="1">
      <alignment horizontal="center" vertical="center"/>
    </xf>
    <xf numFmtId="0" fontId="0" fillId="22" borderId="0" xfId="0" applyFill="1"/>
    <xf numFmtId="0" fontId="23" fillId="23" borderId="0" xfId="0" applyFont="1" applyFill="1" applyAlignment="1">
      <alignment horizontal="right" vertical="center"/>
    </xf>
    <xf numFmtId="0" fontId="0" fillId="23" borderId="0" xfId="0" applyFill="1"/>
    <xf numFmtId="0" fontId="10" fillId="14" borderId="3" xfId="0" applyFont="1" applyFill="1" applyBorder="1" applyAlignment="1">
      <alignment horizontal="center" vertical="center" wrapText="1"/>
    </xf>
    <xf numFmtId="0" fontId="24" fillId="24" borderId="7" xfId="0" applyFont="1" applyFill="1" applyBorder="1" applyAlignment="1">
      <alignment horizontal="center" vertical="center"/>
    </xf>
    <xf numFmtId="0" fontId="24" fillId="13" borderId="7" xfId="0" applyFont="1" applyFill="1" applyBorder="1" applyAlignment="1">
      <alignment horizontal="center" vertical="center"/>
    </xf>
    <xf numFmtId="0" fontId="24" fillId="25" borderId="7" xfId="0" applyFont="1" applyFill="1" applyBorder="1" applyAlignment="1">
      <alignment horizontal="center" vertical="center"/>
    </xf>
    <xf numFmtId="0" fontId="25" fillId="24" borderId="1" xfId="0" applyFont="1" applyFill="1" applyBorder="1" applyAlignment="1">
      <alignment horizontal="left" vertical="center" indent="1"/>
    </xf>
    <xf numFmtId="0" fontId="0" fillId="24" borderId="8" xfId="0" applyFill="1" applyBorder="1"/>
    <xf numFmtId="0" fontId="0" fillId="24" borderId="2" xfId="0" applyFill="1" applyBorder="1"/>
    <xf numFmtId="0" fontId="26" fillId="26" borderId="9" xfId="0" applyFont="1" applyFill="1" applyBorder="1" applyAlignment="1">
      <alignment horizontal="center" vertical="center"/>
    </xf>
    <xf numFmtId="0" fontId="27" fillId="26" borderId="9" xfId="0" applyFont="1" applyFill="1" applyBorder="1" applyAlignment="1">
      <alignment horizontal="left" vertical="center" indent="1"/>
    </xf>
    <xf numFmtId="166" fontId="26" fillId="26" borderId="9" xfId="0" applyNumberFormat="1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/>
    </xf>
    <xf numFmtId="9" fontId="26" fillId="26" borderId="9" xfId="0" applyNumberFormat="1" applyFont="1" applyFill="1" applyBorder="1" applyAlignment="1">
      <alignment horizontal="center" vertical="center"/>
    </xf>
    <xf numFmtId="0" fontId="28" fillId="27" borderId="10" xfId="0" applyFont="1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9" borderId="5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25" fillId="13" borderId="1" xfId="0" applyFont="1" applyFill="1" applyBorder="1" applyAlignment="1">
      <alignment horizontal="left" vertical="center" indent="1"/>
    </xf>
    <xf numFmtId="0" fontId="0" fillId="13" borderId="8" xfId="0" applyFill="1" applyBorder="1"/>
    <xf numFmtId="0" fontId="0" fillId="13" borderId="2" xfId="0" applyFill="1" applyBorder="1"/>
    <xf numFmtId="0" fontId="26" fillId="30" borderId="9" xfId="0" applyFont="1" applyFill="1" applyBorder="1" applyAlignment="1">
      <alignment horizontal="center" vertical="center"/>
    </xf>
    <xf numFmtId="0" fontId="27" fillId="30" borderId="9" xfId="0" applyFont="1" applyFill="1" applyBorder="1" applyAlignment="1">
      <alignment horizontal="left" vertical="center" indent="1"/>
    </xf>
    <xf numFmtId="166" fontId="26" fillId="30" borderId="9" xfId="0" applyNumberFormat="1" applyFont="1" applyFill="1" applyBorder="1" applyAlignment="1">
      <alignment horizontal="center" vertical="center"/>
    </xf>
    <xf numFmtId="9" fontId="26" fillId="30" borderId="9" xfId="0" applyNumberFormat="1" applyFont="1" applyFill="1" applyBorder="1" applyAlignment="1">
      <alignment horizontal="center" vertical="center"/>
    </xf>
    <xf numFmtId="0" fontId="29" fillId="27" borderId="10" xfId="0" applyFont="1" applyFill="1" applyBorder="1" applyAlignment="1">
      <alignment horizontal="center" vertical="center"/>
    </xf>
    <xf numFmtId="0" fontId="29" fillId="31" borderId="11" xfId="0" applyFont="1" applyFill="1" applyBorder="1" applyAlignment="1">
      <alignment horizontal="center" vertical="center"/>
    </xf>
    <xf numFmtId="0" fontId="25" fillId="25" borderId="1" xfId="0" applyFont="1" applyFill="1" applyBorder="1" applyAlignment="1">
      <alignment horizontal="left" vertical="center" indent="1"/>
    </xf>
    <xf numFmtId="0" fontId="0" fillId="25" borderId="8" xfId="0" applyFill="1" applyBorder="1"/>
    <xf numFmtId="0" fontId="0" fillId="25" borderId="2" xfId="0" applyFill="1" applyBorder="1"/>
    <xf numFmtId="0" fontId="26" fillId="32" borderId="9" xfId="0" applyFont="1" applyFill="1" applyBorder="1" applyAlignment="1">
      <alignment horizontal="center" vertical="center"/>
    </xf>
    <xf numFmtId="0" fontId="27" fillId="32" borderId="9" xfId="0" applyFont="1" applyFill="1" applyBorder="1" applyAlignment="1">
      <alignment horizontal="left" vertical="center" indent="1"/>
    </xf>
    <xf numFmtId="166" fontId="26" fillId="32" borderId="9" xfId="0" applyNumberFormat="1" applyFont="1" applyFill="1" applyBorder="1" applyAlignment="1">
      <alignment horizontal="center" vertical="center"/>
    </xf>
    <xf numFmtId="0" fontId="24" fillId="31" borderId="9" xfId="0" applyFont="1" applyFill="1" applyBorder="1" applyAlignment="1">
      <alignment horizontal="center" vertical="center"/>
    </xf>
    <xf numFmtId="9" fontId="26" fillId="32" borderId="9" xfId="0" applyNumberFormat="1" applyFont="1" applyFill="1" applyBorder="1" applyAlignment="1">
      <alignment horizontal="center" vertical="center"/>
    </xf>
    <xf numFmtId="0" fontId="30" fillId="31" borderId="11" xfId="0" applyFont="1" applyFill="1" applyBorder="1" applyAlignment="1">
      <alignment horizontal="center" vertical="center"/>
    </xf>
    <xf numFmtId="0" fontId="31" fillId="33" borderId="9" xfId="0" applyFont="1" applyFill="1" applyBorder="1" applyAlignment="1">
      <alignment horizontal="center" vertical="center"/>
    </xf>
    <xf numFmtId="0" fontId="30" fillId="33" borderId="9" xfId="0" applyFont="1" applyFill="1" applyBorder="1" applyAlignment="1">
      <alignment horizontal="center" vertical="center"/>
    </xf>
    <xf numFmtId="0" fontId="25" fillId="34" borderId="1" xfId="0" applyFont="1" applyFill="1" applyBorder="1" applyAlignment="1">
      <alignment horizontal="left" vertical="center" indent="1"/>
    </xf>
    <xf numFmtId="0" fontId="0" fillId="34" borderId="8" xfId="0" applyFill="1" applyBorder="1"/>
    <xf numFmtId="0" fontId="0" fillId="34" borderId="2" xfId="0" applyFill="1" applyBorder="1"/>
    <xf numFmtId="0" fontId="26" fillId="35" borderId="9" xfId="0" applyFont="1" applyFill="1" applyBorder="1" applyAlignment="1">
      <alignment horizontal="center" vertical="center"/>
    </xf>
    <xf numFmtId="0" fontId="27" fillId="35" borderId="9" xfId="0" applyFont="1" applyFill="1" applyBorder="1" applyAlignment="1">
      <alignment horizontal="left" vertical="center" indent="1"/>
    </xf>
    <xf numFmtId="166" fontId="26" fillId="35" borderId="9" xfId="0" applyNumberFormat="1" applyFont="1" applyFill="1" applyBorder="1" applyAlignment="1">
      <alignment horizontal="center" vertical="center"/>
    </xf>
    <xf numFmtId="9" fontId="26" fillId="35" borderId="9" xfId="0" applyNumberFormat="1" applyFont="1" applyFill="1" applyBorder="1" applyAlignment="1">
      <alignment horizontal="center" vertical="center"/>
    </xf>
    <xf numFmtId="0" fontId="32" fillId="33" borderId="9" xfId="0" applyFont="1" applyFill="1" applyBorder="1" applyAlignment="1">
      <alignment horizontal="center" vertical="center"/>
    </xf>
    <xf numFmtId="0" fontId="27" fillId="36" borderId="0" xfId="0" applyFont="1" applyFill="1"/>
    <xf numFmtId="0" fontId="24" fillId="24" borderId="12" xfId="0" applyFont="1" applyFill="1" applyBorder="1" applyAlignment="1">
      <alignment horizontal="center" vertical="center"/>
    </xf>
    <xf numFmtId="0" fontId="24" fillId="13" borderId="12" xfId="0" applyFont="1" applyFill="1" applyBorder="1" applyAlignment="1">
      <alignment horizontal="center" vertical="center"/>
    </xf>
    <xf numFmtId="0" fontId="24" fillId="25" borderId="12" xfId="0" applyFont="1" applyFill="1" applyBorder="1" applyAlignment="1">
      <alignment horizontal="center" vertical="center"/>
    </xf>
    <xf numFmtId="0" fontId="24" fillId="34" borderId="12" xfId="0" applyFont="1" applyFill="1" applyBorder="1" applyAlignment="1">
      <alignment horizontal="center" vertical="center"/>
    </xf>
    <xf numFmtId="0" fontId="24" fillId="27" borderId="12" xfId="0" applyFont="1" applyFill="1" applyBorder="1" applyAlignment="1">
      <alignment horizontal="center" vertical="center"/>
    </xf>
    <xf numFmtId="0" fontId="24" fillId="31" borderId="12" xfId="0" applyFont="1" applyFill="1" applyBorder="1" applyAlignment="1">
      <alignment horizontal="center" vertical="center"/>
    </xf>
    <xf numFmtId="0" fontId="33" fillId="33" borderId="1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 wrapText="1"/>
    </xf>
    <xf numFmtId="165" fontId="4" fillId="7" borderId="2" xfId="0" applyNumberFormat="1" applyFont="1" applyFill="1" applyBorder="1" applyAlignment="1">
      <alignment horizontal="center" vertical="center"/>
    </xf>
    <xf numFmtId="9" fontId="4" fillId="7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left" vertical="center"/>
    </xf>
    <xf numFmtId="0" fontId="4" fillId="12" borderId="2" xfId="0" applyFont="1" applyFill="1" applyBorder="1" applyAlignment="1">
      <alignment horizontal="left" vertical="center" wrapText="1"/>
    </xf>
    <xf numFmtId="165" fontId="4" fillId="12" borderId="2" xfId="0" applyNumberFormat="1" applyFont="1" applyFill="1" applyBorder="1" applyAlignment="1">
      <alignment horizontal="center" vertical="center"/>
    </xf>
    <xf numFmtId="9" fontId="4" fillId="12" borderId="2" xfId="0" applyNumberFormat="1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9" fontId="3" fillId="6" borderId="2" xfId="0" applyNumberFormat="1" applyFont="1" applyFill="1" applyBorder="1" applyAlignment="1">
      <alignment horizontal="center" vertical="center"/>
    </xf>
    <xf numFmtId="0" fontId="34" fillId="37" borderId="0" xfId="0" applyFont="1" applyFill="1"/>
    <xf numFmtId="0" fontId="3" fillId="19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167" fontId="4" fillId="19" borderId="2" xfId="0" applyNumberFormat="1" applyFont="1" applyFill="1" applyBorder="1" applyAlignment="1">
      <alignment horizontal="center" vertical="center"/>
    </xf>
    <xf numFmtId="0" fontId="9" fillId="19" borderId="2" xfId="0" applyFont="1" applyFill="1" applyBorder="1" applyAlignment="1">
      <alignment horizontal="left" vertical="center" wrapText="1"/>
    </xf>
    <xf numFmtId="0" fontId="35" fillId="37" borderId="13" xfId="0" applyFont="1" applyFill="1" applyBorder="1" applyAlignment="1">
      <alignment horizontal="left" vertical="center" indent="1"/>
    </xf>
    <xf numFmtId="0" fontId="4" fillId="9" borderId="2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left" vertical="center"/>
    </xf>
    <xf numFmtId="167" fontId="4" fillId="20" borderId="2" xfId="0" applyNumberFormat="1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center" vertical="center"/>
    </xf>
    <xf numFmtId="0" fontId="3" fillId="21" borderId="2" xfId="0" applyFont="1" applyFill="1" applyBorder="1" applyAlignment="1">
      <alignment horizontal="left" vertical="center"/>
    </xf>
    <xf numFmtId="167" fontId="4" fillId="21" borderId="2" xfId="0" applyNumberFormat="1" applyFont="1" applyFill="1" applyBorder="1" applyAlignment="1">
      <alignment horizontal="center" vertical="center"/>
    </xf>
    <xf numFmtId="0" fontId="9" fillId="21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left" vertical="center" wrapText="1"/>
    </xf>
    <xf numFmtId="0" fontId="12" fillId="19" borderId="2" xfId="0" applyFont="1" applyFill="1" applyBorder="1" applyAlignment="1">
      <alignment horizontal="left" vertical="center" wrapText="1"/>
    </xf>
    <xf numFmtId="167" fontId="12" fillId="19" borderId="2" xfId="0" applyNumberFormat="1" applyFont="1" applyFill="1" applyBorder="1" applyAlignment="1">
      <alignment horizontal="center" vertical="center"/>
    </xf>
    <xf numFmtId="0" fontId="16" fillId="20" borderId="2" xfId="0" applyFont="1" applyFill="1" applyBorder="1" applyAlignment="1">
      <alignment horizontal="center" vertical="center"/>
    </xf>
    <xf numFmtId="0" fontId="15" fillId="20" borderId="2" xfId="0" applyFont="1" applyFill="1" applyBorder="1" applyAlignment="1">
      <alignment horizontal="left" vertical="center" wrapText="1"/>
    </xf>
    <xf numFmtId="0" fontId="16" fillId="20" borderId="2" xfId="0" applyFont="1" applyFill="1" applyBorder="1" applyAlignment="1">
      <alignment horizontal="left" vertical="center" wrapText="1"/>
    </xf>
    <xf numFmtId="167" fontId="16" fillId="20" borderId="2" xfId="0" applyNumberFormat="1" applyFont="1" applyFill="1" applyBorder="1" applyAlignment="1">
      <alignment horizontal="center" vertical="center"/>
    </xf>
    <xf numFmtId="0" fontId="20" fillId="21" borderId="2" xfId="0" applyFont="1" applyFill="1" applyBorder="1" applyAlignment="1">
      <alignment horizontal="center" vertical="center"/>
    </xf>
    <xf numFmtId="0" fontId="36" fillId="21" borderId="2" xfId="0" applyFont="1" applyFill="1" applyBorder="1" applyAlignment="1">
      <alignment horizontal="left" vertical="center" wrapText="1"/>
    </xf>
    <xf numFmtId="0" fontId="20" fillId="21" borderId="2" xfId="0" applyFont="1" applyFill="1" applyBorder="1" applyAlignment="1">
      <alignment horizontal="left" vertical="center" wrapText="1"/>
    </xf>
    <xf numFmtId="167" fontId="20" fillId="21" borderId="2" xfId="0" applyNumberFormat="1" applyFont="1" applyFill="1" applyBorder="1" applyAlignment="1">
      <alignment horizontal="center" vertical="center"/>
    </xf>
    <xf numFmtId="0" fontId="18" fillId="21" borderId="2" xfId="0" applyFont="1" applyFill="1" applyBorder="1" applyAlignment="1">
      <alignment horizontal="center" vertical="center"/>
    </xf>
    <xf numFmtId="0" fontId="3" fillId="6" borderId="2" xfId="0" applyFont="1" applyFill="1" applyBorder="1"/>
    <xf numFmtId="0" fontId="0" fillId="0" borderId="2" xfId="0" applyBorder="1"/>
    <xf numFmtId="0" fontId="38" fillId="8" borderId="2" xfId="1" applyFill="1" applyBorder="1" applyAlignment="1">
      <alignment horizontal="center" vertical="center"/>
    </xf>
    <xf numFmtId="0" fontId="38" fillId="9" borderId="2" xfId="1" applyFill="1" applyBorder="1" applyAlignment="1">
      <alignment horizontal="center" vertical="center"/>
    </xf>
    <xf numFmtId="0" fontId="38" fillId="10" borderId="2" xfId="1" applyFill="1" applyBorder="1" applyAlignment="1">
      <alignment horizontal="center" vertical="center"/>
    </xf>
    <xf numFmtId="0" fontId="38" fillId="11" borderId="2" xfId="1" applyFill="1" applyBorder="1" applyAlignment="1">
      <alignment horizontal="center" vertical="center"/>
    </xf>
    <xf numFmtId="0" fontId="38" fillId="0" borderId="0" xfId="1" applyAlignment="1">
      <alignment horizontal="right" vertical="center"/>
    </xf>
    <xf numFmtId="0" fontId="39" fillId="23" borderId="0" xfId="1" applyFont="1" applyFill="1"/>
    <xf numFmtId="9" fontId="5" fillId="7" borderId="2" xfId="0" applyNumberFormat="1" applyFont="1" applyFill="1" applyBorder="1" applyAlignment="1">
      <alignment horizontal="center" vertical="center"/>
    </xf>
    <xf numFmtId="2" fontId="4" fillId="19" borderId="2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0" fillId="0" borderId="0" xfId="0"/>
    <xf numFmtId="0" fontId="37" fillId="5" borderId="1" xfId="0" applyFont="1" applyFill="1" applyBorder="1" applyAlignment="1">
      <alignment horizontal="left" vertical="center" wrapText="1"/>
    </xf>
    <xf numFmtId="0" fontId="0" fillId="0" borderId="8" xfId="0" applyBorder="1"/>
    <xf numFmtId="0" fontId="4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0" fillId="0" borderId="14" xfId="0" applyBorder="1"/>
    <xf numFmtId="0" fontId="9" fillId="11" borderId="1" xfId="0" applyFont="1" applyFill="1" applyBorder="1" applyAlignment="1">
      <alignment horizontal="left" vertical="center"/>
    </xf>
    <xf numFmtId="0" fontId="40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0" fontId="0" fillId="4" borderId="0" xfId="0" applyFill="1"/>
    <xf numFmtId="0" fontId="1" fillId="3" borderId="0" xfId="0" applyFont="1" applyFill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19" fillId="17" borderId="0" xfId="0" applyFont="1" applyFill="1" applyAlignment="1">
      <alignment horizontal="center" vertical="center"/>
    </xf>
    <xf numFmtId="0" fontId="41" fillId="18" borderId="0" xfId="0" applyFont="1" applyFill="1" applyAlignment="1">
      <alignment horizontal="center" vertical="center"/>
    </xf>
    <xf numFmtId="0" fontId="26" fillId="32" borderId="9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6" fillId="26" borderId="9" xfId="0" applyFont="1" applyFill="1" applyBorder="1" applyAlignment="1">
      <alignment horizontal="center" vertical="center"/>
    </xf>
    <xf numFmtId="0" fontId="10" fillId="25" borderId="6" xfId="0" applyFont="1" applyFill="1" applyBorder="1" applyAlignment="1">
      <alignment horizontal="center" vertical="center"/>
    </xf>
    <xf numFmtId="0" fontId="0" fillId="0" borderId="17" xfId="0" applyBorder="1"/>
    <xf numFmtId="0" fontId="10" fillId="24" borderId="6" xfId="0" applyFont="1" applyFill="1" applyBorder="1" applyAlignment="1">
      <alignment horizontal="center" vertical="center"/>
    </xf>
    <xf numFmtId="0" fontId="22" fillId="22" borderId="0" xfId="0" applyFont="1" applyFill="1" applyAlignment="1">
      <alignment horizontal="left" vertical="center"/>
    </xf>
    <xf numFmtId="0" fontId="0" fillId="14" borderId="0" xfId="0" applyFill="1"/>
    <xf numFmtId="0" fontId="26" fillId="30" borderId="9" xfId="0" applyFont="1" applyFill="1" applyBorder="1" applyAlignment="1">
      <alignment horizontal="center" vertical="center"/>
    </xf>
    <xf numFmtId="0" fontId="10" fillId="13" borderId="6" xfId="0" applyFont="1" applyFill="1" applyBorder="1" applyAlignment="1">
      <alignment horizontal="center" vertical="center"/>
    </xf>
    <xf numFmtId="0" fontId="3" fillId="6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DDDDDD"/>
      <rgbColor rgb="FFEBF5FB"/>
      <rgbColor rgb="FFFEF9E7"/>
      <rgbColor rgb="FFE8E8E8"/>
      <rgbColor rgb="FFD6E8F7"/>
      <rgbColor rgb="FFC00000"/>
      <rgbColor rgb="FF1A6B1A"/>
      <rgbColor rgb="FFF8F9FA"/>
      <rgbColor rgb="FF8B5E00"/>
      <rgbColor rgb="FFE8ECF5"/>
      <rgbColor rgb="FF2980B9"/>
      <rgbColor rgb="FFBDC3C7"/>
      <rgbColor rgb="FF555555"/>
      <rgbColor rgb="FFAAAAAA"/>
      <rgbColor rgb="FFC0392B"/>
      <rgbColor rgb="FFFFFDE7"/>
      <rgbColor rgb="FFD5F0DE"/>
      <rgbColor rgb="FF444444"/>
      <rgbColor rgb="FFF1948A"/>
      <rgbColor rgb="FF196EBF"/>
      <rgbColor rgb="FFD6DBDF"/>
      <rgbColor rgb="FFFDFEFE"/>
      <rgbColor rgb="FFEAECEE"/>
      <rgbColor rgb="FFFADBD8"/>
      <rgbColor rgb="FFD6E4F0"/>
      <rgbColor rgb="FFF0F0F0"/>
      <rgbColor rgb="FFEEF2F7"/>
      <rgbColor rgb="FF1A5276"/>
      <rgbColor rgb="FFF5F5F5"/>
      <rgbColor rgb="FFCCCCCC"/>
      <rgbColor rgb="FFEAFAF1"/>
      <rgbColor rgb="FFD5F5E3"/>
      <rgbColor rgb="FFFDE8D1"/>
      <rgbColor rgb="FFA9DFBF"/>
      <rgbColor rgb="FFFAD7D5"/>
      <rgbColor rgb="FFAAB7B8"/>
      <rgbColor rgb="FFFAD7A0"/>
      <rgbColor rgb="FF4776C3"/>
      <rgbColor rgb="FF2ECC71"/>
      <rgbColor rgb="FF70AD47"/>
      <rgbColor rgb="FFED7D31"/>
      <rgbColor rgb="FFF39C12"/>
      <rgbColor rgb="FFD4700A"/>
      <rgbColor rgb="FF4A6FA5"/>
      <rgbColor rgb="FF979797"/>
      <rgbColor rgb="FF10174E"/>
      <rgbColor rgb="FF1A9C3E"/>
      <rgbColor rgb="FF2C3E50"/>
      <rgbColor rgb="FF1A252F"/>
      <rgbColor rgb="FF922B21"/>
      <rgbColor rgb="FFCC3300"/>
      <rgbColor rgb="FF2C3E6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0.85</c:v>
                </c:pt>
                <c:pt idx="1">
                  <c:v>0.78</c:v>
                </c:pt>
                <c:pt idx="2">
                  <c:v>0.9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0.7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0-473A-BB11-6734F6B81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124549"/>
        <c:axId val="5365901"/>
      </c:barChart>
      <c:catAx>
        <c:axId val="70124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65901"/>
        <c:crosses val="autoZero"/>
        <c:auto val="1"/>
        <c:lblAlgn val="ctr"/>
        <c:lblOffset val="100"/>
        <c:noMultiLvlLbl val="0"/>
      </c:catAx>
      <c:valAx>
        <c:axId val="53659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12454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Task Status Distribution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447530864197531E-2"/>
          <c:y val="2.5656565656565655E-2"/>
          <c:w val="0.63889382716049381"/>
          <c:h val="0.8588888888888889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1-4358-BDD4-F454E00A2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Status</a:t>
                </a:r>
              </a:p>
            </c:rich>
          </c:tx>
          <c:layout>
            <c:manualLayout>
              <c:xMode val="edge"/>
              <c:yMode val="edge"/>
              <c:x val="0.40578919753086418"/>
              <c:y val="0.90247272727272732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240056531395"/>
          <c:y val="0.1370292105946723"/>
          <c:w val="0.64760422975974152"/>
          <c:h val="0.81885493498793449"/>
        </c:manualLayout>
      </c:layout>
      <c:pieChart>
        <c:varyColors val="1"/>
        <c:ser>
          <c:idx val="0"/>
          <c:order val="0"/>
          <c:tx>
            <c:strRef>
              <c:f>'Dashboard Checklist'!$B$17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48FF-4526-868F-2FBDCA52382C}"/>
              </c:ext>
            </c:extLst>
          </c:dPt>
          <c:dPt>
            <c:idx val="1"/>
            <c:bubble3D val="0"/>
            <c:explosion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48FF-4526-868F-2FBDCA52382C}"/>
              </c:ext>
            </c:extLst>
          </c:dPt>
          <c:dPt>
            <c:idx val="2"/>
            <c:bubble3D val="0"/>
            <c:explosion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48FF-4526-868F-2FBDCA52382C}"/>
              </c:ext>
            </c:extLst>
          </c:dPt>
          <c:dLbls>
            <c:dLbl>
              <c:idx val="0"/>
              <c:layout>
                <c:manualLayout>
                  <c:x val="0.26391600486370687"/>
                  <c:y val="0.13664268268532576"/>
                </c:manualLayout>
              </c:layout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FF-4526-868F-2FBDCA52382C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8FF-4526-868F-2FBDCA52382C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48FF-4526-868F-2FBDCA52382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Checklist'!$A$18:$A$20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'Dashboard Checklist'!$B$18:$B$20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FF-4526-868F-2FBDCA523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Checklist'!$B$17</c:f>
              <c:strCache>
                <c:ptCount val="1"/>
                <c:pt idx="0">
                  <c:v>Count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Checklist'!$A$18:$A$20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'Dashboard Checklist'!$B$18:$B$20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1-4680-9D3C-6A5FB8FAB5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1534943"/>
        <c:axId val="1381551743"/>
      </c:lineChart>
      <c:catAx>
        <c:axId val="138153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551743"/>
        <c:crosses val="autoZero"/>
        <c:auto val="1"/>
        <c:lblAlgn val="ctr"/>
        <c:lblOffset val="100"/>
        <c:noMultiLvlLbl val="0"/>
      </c:catAx>
      <c:valAx>
        <c:axId val="138155174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1381534943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742950</xdr:colOff>
      <xdr:row>21</xdr:row>
      <xdr:rowOff>76200</xdr:rowOff>
    </xdr:from>
    <xdr:to>
      <xdr:col>13</xdr:col>
      <xdr:colOff>123825</xdr:colOff>
      <xdr:row>44</xdr:row>
      <xdr:rowOff>13500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15</xdr:row>
      <xdr:rowOff>0</xdr:rowOff>
    </xdr:from>
    <xdr:ext cx="3240000" cy="19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190499</xdr:colOff>
      <xdr:row>13</xdr:row>
      <xdr:rowOff>152399</xdr:rowOff>
    </xdr:from>
    <xdr:to>
      <xdr:col>4</xdr:col>
      <xdr:colOff>158749</xdr:colOff>
      <xdr:row>31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13</xdr:row>
      <xdr:rowOff>128587</xdr:rowOff>
    </xdr:from>
    <xdr:to>
      <xdr:col>10</xdr:col>
      <xdr:colOff>514350</xdr:colOff>
      <xdr:row>29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showGridLines="0" zoomScaleNormal="100" workbookViewId="0">
      <pane ySplit="2" topLeftCell="A3" activePane="bottomLeft" state="frozen"/>
      <selection activeCell="D24" sqref="D24"/>
      <selection pane="bottomLeft" activeCell="N33" sqref="N33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174" t="s">
        <v>61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</row>
    <row r="2" spans="1:16" ht="18" customHeight="1" x14ac:dyDescent="0.25">
      <c r="A2" s="177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</row>
    <row r="3" spans="1:16" ht="3.75" customHeight="1" x14ac:dyDescent="0.25"/>
    <row r="4" spans="1:16" ht="0.75" hidden="1" customHeight="1" x14ac:dyDescent="0.25">
      <c r="A4" s="169"/>
      <c r="B4" s="167"/>
      <c r="C4" s="176"/>
      <c r="D4" s="165"/>
      <c r="E4" s="165"/>
      <c r="F4" s="165"/>
      <c r="G4" s="165"/>
      <c r="H4" s="165"/>
    </row>
    <row r="5" spans="1:16" ht="15" hidden="1" customHeight="1" x14ac:dyDescent="0.25">
      <c r="A5" s="1"/>
      <c r="B5" s="168"/>
      <c r="C5" s="167"/>
      <c r="D5" s="167"/>
      <c r="E5" s="167"/>
      <c r="F5" s="167"/>
      <c r="G5" s="167"/>
      <c r="H5" s="167"/>
    </row>
    <row r="6" spans="1:16" ht="15" hidden="1" customHeight="1" x14ac:dyDescent="0.25">
      <c r="A6" s="1"/>
      <c r="B6" s="168"/>
      <c r="C6" s="167"/>
      <c r="D6" s="167"/>
      <c r="E6" s="167"/>
      <c r="F6" s="167"/>
      <c r="G6" s="167"/>
      <c r="H6" s="167"/>
    </row>
    <row r="7" spans="1:16" ht="15" hidden="1" customHeight="1" x14ac:dyDescent="0.25">
      <c r="A7" s="1"/>
      <c r="B7" s="168"/>
      <c r="C7" s="167"/>
      <c r="D7" s="167"/>
      <c r="E7" s="167"/>
      <c r="F7" s="167"/>
      <c r="G7" s="167"/>
      <c r="H7" s="167"/>
    </row>
    <row r="8" spans="1:16" ht="15" hidden="1" customHeight="1" x14ac:dyDescent="0.25">
      <c r="A8" s="1"/>
      <c r="B8" s="168"/>
      <c r="C8" s="167"/>
      <c r="D8" s="167"/>
      <c r="E8" s="167"/>
      <c r="F8" s="167"/>
      <c r="G8" s="167"/>
      <c r="H8" s="167"/>
    </row>
    <row r="9" spans="1:16" ht="15" hidden="1" customHeight="1" x14ac:dyDescent="0.25">
      <c r="A9" s="1"/>
      <c r="B9" s="168"/>
      <c r="C9" s="167"/>
      <c r="D9" s="167"/>
      <c r="E9" s="167"/>
      <c r="F9" s="167"/>
      <c r="G9" s="167"/>
      <c r="H9" s="167"/>
    </row>
    <row r="10" spans="1:16" ht="15" hidden="1" customHeight="1" x14ac:dyDescent="0.25">
      <c r="A10" s="1"/>
      <c r="B10" s="168"/>
      <c r="C10" s="167"/>
      <c r="D10" s="167"/>
      <c r="E10" s="167"/>
      <c r="F10" s="167"/>
      <c r="G10" s="167"/>
      <c r="H10" s="167"/>
    </row>
    <row r="11" spans="1:16" ht="15" hidden="1" customHeight="1" x14ac:dyDescent="0.25">
      <c r="A11" s="1"/>
      <c r="B11" s="168"/>
      <c r="C11" s="167"/>
      <c r="D11" s="167"/>
      <c r="E11" s="167"/>
      <c r="F11" s="167"/>
      <c r="G11" s="167"/>
      <c r="H11" s="167"/>
    </row>
    <row r="12" spans="1:16" ht="15" hidden="1" customHeight="1" x14ac:dyDescent="0.25">
      <c r="A12" s="1"/>
      <c r="B12" s="168"/>
      <c r="C12" s="167"/>
      <c r="D12" s="167"/>
      <c r="E12" s="167"/>
      <c r="F12" s="167"/>
      <c r="G12" s="167"/>
      <c r="H12" s="167"/>
    </row>
    <row r="13" spans="1:16" ht="15" hidden="1" customHeight="1" x14ac:dyDescent="0.25">
      <c r="A13" s="1"/>
      <c r="B13" s="168"/>
      <c r="C13" s="167"/>
      <c r="D13" s="167"/>
      <c r="E13" s="167"/>
      <c r="F13" s="167"/>
      <c r="G13" s="167"/>
      <c r="H13" s="167"/>
    </row>
    <row r="14" spans="1:16" ht="15" hidden="1" customHeight="1" x14ac:dyDescent="0.25">
      <c r="A14" s="1"/>
      <c r="B14" s="168"/>
      <c r="C14" s="167"/>
      <c r="D14" s="167"/>
      <c r="E14" s="167"/>
      <c r="F14" s="167"/>
      <c r="G14" s="167"/>
      <c r="H14" s="167"/>
    </row>
    <row r="15" spans="1:16" ht="7.5" hidden="1" customHeight="1" x14ac:dyDescent="0.25"/>
    <row r="16" spans="1:16" ht="15" customHeight="1" x14ac:dyDescent="0.25">
      <c r="A16" s="169" t="s">
        <v>62</v>
      </c>
      <c r="B16" s="167"/>
      <c r="C16" s="167"/>
      <c r="D16" s="167"/>
      <c r="E16" s="167"/>
      <c r="F16" s="167"/>
      <c r="G16" s="167"/>
      <c r="H16" s="167"/>
    </row>
    <row r="17" spans="1:16" ht="15" customHeight="1" x14ac:dyDescent="0.25">
      <c r="A17" s="2" t="s">
        <v>63</v>
      </c>
      <c r="B17" s="2" t="s">
        <v>64</v>
      </c>
      <c r="C17" s="2" t="s">
        <v>65</v>
      </c>
      <c r="D17" s="2" t="s">
        <v>66</v>
      </c>
      <c r="E17" s="2" t="s">
        <v>67</v>
      </c>
    </row>
    <row r="18" spans="1:16" ht="15" customHeight="1" x14ac:dyDescent="0.25">
      <c r="A18" s="3">
        <f>COUNTA('Cleaned Data'!$A$4:$A$500)</f>
        <v>120</v>
      </c>
      <c r="B18" s="3">
        <f>COUNTIF('Cleaned Data'!$I$4:$I$500,"Completed")</f>
        <v>0</v>
      </c>
      <c r="C18" s="3">
        <f>COUNTIF('Cleaned Data'!$I$4:$I$500,"In Progress")</f>
        <v>97</v>
      </c>
      <c r="D18" s="3">
        <f>COUNTIF('Cleaned Data'!$I$4:$I$500,"Not Started")</f>
        <v>23</v>
      </c>
      <c r="E18" s="162">
        <f>IF(A18=0,0,B18/A18)</f>
        <v>0</v>
      </c>
    </row>
    <row r="19" spans="1:16" ht="7.5" customHeight="1" x14ac:dyDescent="0.25"/>
    <row r="20" spans="1:16" x14ac:dyDescent="0.25">
      <c r="A20" s="169" t="s">
        <v>68</v>
      </c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</row>
    <row r="21" spans="1:16" ht="15" customHeight="1" x14ac:dyDescent="0.25">
      <c r="A21" s="4" t="s">
        <v>69</v>
      </c>
      <c r="B21" s="4" t="s">
        <v>70</v>
      </c>
      <c r="C21" s="4" t="s">
        <v>71</v>
      </c>
      <c r="D21" s="4"/>
      <c r="F21" s="4"/>
      <c r="G21" s="4"/>
      <c r="H21" s="4"/>
      <c r="I21" s="4"/>
      <c r="J21" s="4"/>
      <c r="K21" s="4"/>
      <c r="L21" s="4"/>
      <c r="N21" s="4" t="s">
        <v>72</v>
      </c>
    </row>
    <row r="22" spans="1:16" ht="15" customHeight="1" x14ac:dyDescent="0.25">
      <c r="A22" s="5" t="s">
        <v>73</v>
      </c>
      <c r="B22" s="6" t="s">
        <v>74</v>
      </c>
      <c r="C22" s="171" t="s">
        <v>468</v>
      </c>
      <c r="D22" s="167"/>
      <c r="E22" s="167"/>
      <c r="F22" s="167"/>
      <c r="G22" s="167"/>
      <c r="H22" s="167"/>
      <c r="I22" s="167"/>
      <c r="J22" s="167"/>
      <c r="K22" s="167"/>
      <c r="L22" s="167"/>
      <c r="M22" s="172"/>
      <c r="N22" s="156" t="s">
        <v>75</v>
      </c>
    </row>
    <row r="23" spans="1:16" ht="15" customHeight="1" x14ac:dyDescent="0.25">
      <c r="A23" s="5" t="s">
        <v>76</v>
      </c>
      <c r="B23" s="6" t="s">
        <v>74</v>
      </c>
      <c r="C23" s="175" t="s">
        <v>469</v>
      </c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56" t="s">
        <v>77</v>
      </c>
    </row>
    <row r="24" spans="1:16" ht="15" customHeight="1" x14ac:dyDescent="0.25">
      <c r="A24" s="7" t="s">
        <v>78</v>
      </c>
      <c r="B24" s="8" t="s">
        <v>79</v>
      </c>
      <c r="C24" s="170" t="s">
        <v>470</v>
      </c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57" t="s">
        <v>80</v>
      </c>
    </row>
    <row r="25" spans="1:16" ht="15" customHeight="1" x14ac:dyDescent="0.25">
      <c r="A25" s="7" t="s">
        <v>81</v>
      </c>
      <c r="B25" s="8" t="s">
        <v>82</v>
      </c>
      <c r="C25" s="170" t="s">
        <v>471</v>
      </c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57" t="s">
        <v>83</v>
      </c>
    </row>
    <row r="26" spans="1:16" ht="15" customHeight="1" x14ac:dyDescent="0.25">
      <c r="A26" s="9" t="s">
        <v>84</v>
      </c>
      <c r="B26" s="10" t="s">
        <v>85</v>
      </c>
      <c r="C26" s="178" t="s">
        <v>472</v>
      </c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58" t="s">
        <v>86</v>
      </c>
    </row>
    <row r="27" spans="1:16" ht="15" customHeight="1" x14ac:dyDescent="0.25">
      <c r="A27" s="11" t="s">
        <v>87</v>
      </c>
      <c r="B27" s="12" t="s">
        <v>88</v>
      </c>
      <c r="C27" s="173" t="s">
        <v>473</v>
      </c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59" t="s">
        <v>89</v>
      </c>
    </row>
    <row r="28" spans="1:16" ht="7.5" customHeight="1" x14ac:dyDescent="0.25"/>
    <row r="29" spans="1:16" ht="15" customHeight="1" x14ac:dyDescent="0.25">
      <c r="A29" s="169" t="s">
        <v>90</v>
      </c>
      <c r="B29" s="167"/>
      <c r="C29" s="167"/>
      <c r="D29" s="167"/>
      <c r="E29" s="167"/>
      <c r="F29" s="167"/>
      <c r="G29" s="167"/>
      <c r="H29" s="167"/>
      <c r="I29" s="167"/>
      <c r="J29" s="167"/>
      <c r="K29" s="167"/>
      <c r="L29" s="167"/>
      <c r="M29" s="167"/>
      <c r="N29" s="167"/>
      <c r="O29" s="167"/>
      <c r="P29" s="167"/>
    </row>
    <row r="30" spans="1:16" ht="15" customHeight="1" x14ac:dyDescent="0.25">
      <c r="A30" s="4" t="s">
        <v>91</v>
      </c>
      <c r="B30" s="4" t="s">
        <v>92</v>
      </c>
      <c r="C30" s="4" t="s">
        <v>93</v>
      </c>
      <c r="F30" s="13" t="s">
        <v>474</v>
      </c>
      <c r="G30" s="14" t="s">
        <v>95</v>
      </c>
      <c r="J30" s="4" t="s">
        <v>3</v>
      </c>
      <c r="K30" s="4" t="s">
        <v>11</v>
      </c>
      <c r="L30" s="4" t="s">
        <v>9</v>
      </c>
    </row>
    <row r="31" spans="1:16" ht="15" customHeight="1" x14ac:dyDescent="0.25">
      <c r="A31" s="15">
        <v>1</v>
      </c>
      <c r="B31" s="16" t="s">
        <v>17</v>
      </c>
      <c r="C31" s="17" t="s">
        <v>96</v>
      </c>
      <c r="F31" s="18" t="b">
        <f>COUNTIF($G$31:G31,G31)&gt;1</f>
        <v>0</v>
      </c>
      <c r="G31" s="19" t="s">
        <v>97</v>
      </c>
      <c r="J31" s="17" t="s">
        <v>18</v>
      </c>
      <c r="K31" s="17" t="s">
        <v>27</v>
      </c>
      <c r="L31" s="17" t="s">
        <v>64</v>
      </c>
    </row>
    <row r="32" spans="1:16" ht="15" customHeight="1" x14ac:dyDescent="0.25">
      <c r="A32" s="15">
        <v>2</v>
      </c>
      <c r="B32" s="16" t="s">
        <v>23</v>
      </c>
      <c r="C32" s="17" t="s">
        <v>98</v>
      </c>
      <c r="F32" s="18" t="str">
        <f>TRIM(CLEAN(G32))</f>
        <v>Priya Sharma</v>
      </c>
      <c r="G32" s="19" t="s">
        <v>99</v>
      </c>
      <c r="J32" s="17" t="s">
        <v>18</v>
      </c>
      <c r="K32" s="17" t="s">
        <v>27</v>
      </c>
      <c r="L32" s="17" t="s">
        <v>64</v>
      </c>
    </row>
    <row r="33" spans="1:12" ht="15" customHeight="1" x14ac:dyDescent="0.25">
      <c r="A33" s="15">
        <v>3</v>
      </c>
      <c r="B33" s="16" t="s">
        <v>28</v>
      </c>
      <c r="C33" s="17" t="s">
        <v>100</v>
      </c>
      <c r="F33" s="18" t="str">
        <f>PROPER(G33)</f>
        <v>North West</v>
      </c>
      <c r="G33" s="19" t="s">
        <v>101</v>
      </c>
      <c r="J33" s="17" t="s">
        <v>18</v>
      </c>
      <c r="K33" s="17" t="s">
        <v>21</v>
      </c>
      <c r="L33" s="17" t="s">
        <v>64</v>
      </c>
    </row>
    <row r="34" spans="1:12" ht="15" customHeight="1" x14ac:dyDescent="0.25">
      <c r="A34" s="20">
        <v>4</v>
      </c>
      <c r="B34" s="21" t="s">
        <v>32</v>
      </c>
      <c r="C34" s="22" t="s">
        <v>102</v>
      </c>
      <c r="F34" s="18">
        <f>DATEVALUE(G34)</f>
        <v>45320</v>
      </c>
      <c r="G34" s="19" t="s">
        <v>103</v>
      </c>
      <c r="J34" s="22" t="s">
        <v>24</v>
      </c>
      <c r="K34" s="22" t="s">
        <v>27</v>
      </c>
      <c r="L34" s="22" t="s">
        <v>64</v>
      </c>
    </row>
    <row r="35" spans="1:12" ht="15" customHeight="1" x14ac:dyDescent="0.25">
      <c r="A35" s="20">
        <v>5</v>
      </c>
      <c r="B35" s="21" t="s">
        <v>36</v>
      </c>
      <c r="C35" s="22" t="s">
        <v>104</v>
      </c>
      <c r="F35" s="18" t="str">
        <f>IF(G35="","Unknown",G35)</f>
        <v>Unknown</v>
      </c>
      <c r="G35" s="19"/>
      <c r="J35" s="22" t="s">
        <v>24</v>
      </c>
      <c r="K35" s="22" t="s">
        <v>21</v>
      </c>
      <c r="L35" s="22" t="s">
        <v>64</v>
      </c>
    </row>
    <row r="36" spans="1:12" ht="15" customHeight="1" x14ac:dyDescent="0.25">
      <c r="A36" s="23">
        <v>6</v>
      </c>
      <c r="B36" s="24" t="s">
        <v>39</v>
      </c>
      <c r="C36" s="25" t="s">
        <v>105</v>
      </c>
      <c r="F36" s="18" t="str">
        <f>LEFT(G36,FIND(" ",G36)-1)</f>
        <v>Karan</v>
      </c>
      <c r="G36" s="19" t="s">
        <v>41</v>
      </c>
      <c r="J36" s="25" t="s">
        <v>24</v>
      </c>
      <c r="K36" s="25" t="s">
        <v>51</v>
      </c>
      <c r="L36" s="25" t="s">
        <v>65</v>
      </c>
    </row>
    <row r="37" spans="1:12" ht="15" customHeight="1" x14ac:dyDescent="0.25">
      <c r="A37" s="26">
        <v>7</v>
      </c>
      <c r="B37" s="27" t="s">
        <v>40</v>
      </c>
      <c r="C37" s="28" t="s">
        <v>106</v>
      </c>
      <c r="F37" s="29">
        <f>VALUE(SUBSTITUTE(SUBSTITUTE(G37,"Rs. ",""),",",""))</f>
        <v>150000</v>
      </c>
      <c r="G37" s="19" t="s">
        <v>107</v>
      </c>
      <c r="J37" s="28" t="s">
        <v>29</v>
      </c>
      <c r="K37" s="28" t="s">
        <v>27</v>
      </c>
      <c r="L37" s="28" t="s">
        <v>65</v>
      </c>
    </row>
    <row r="38" spans="1:12" ht="15" customHeight="1" x14ac:dyDescent="0.25">
      <c r="A38" s="30">
        <v>8</v>
      </c>
      <c r="B38" s="31" t="s">
        <v>42</v>
      </c>
      <c r="C38" s="32" t="s">
        <v>108</v>
      </c>
      <c r="F38" s="18" t="str">
        <f>IF(AND(G38&gt;=18,G38&lt;=65),"Valid","Invalid")</f>
        <v>Valid</v>
      </c>
      <c r="G38" s="19">
        <v>45</v>
      </c>
      <c r="J38" s="32" t="s">
        <v>29</v>
      </c>
      <c r="K38" s="32" t="s">
        <v>21</v>
      </c>
      <c r="L38" s="32" t="s">
        <v>66</v>
      </c>
    </row>
    <row r="39" spans="1:12" ht="15" customHeight="1" x14ac:dyDescent="0.25">
      <c r="A39" s="30">
        <v>9</v>
      </c>
      <c r="B39" s="31" t="s">
        <v>44</v>
      </c>
      <c r="C39" s="32" t="s">
        <v>109</v>
      </c>
      <c r="F39" s="18" t="str">
        <f>PROPER(G39)</f>
        <v>Electronics</v>
      </c>
      <c r="G39" s="19" t="s">
        <v>110</v>
      </c>
      <c r="J39" s="32" t="s">
        <v>29</v>
      </c>
      <c r="K39" s="32" t="s">
        <v>21</v>
      </c>
      <c r="L39" s="32" t="s">
        <v>66</v>
      </c>
    </row>
    <row r="40" spans="1:12" ht="15" customHeight="1" x14ac:dyDescent="0.25">
      <c r="A40" s="33">
        <v>10</v>
      </c>
      <c r="B40" s="34" t="s">
        <v>46</v>
      </c>
      <c r="C40" s="35" t="s">
        <v>111</v>
      </c>
      <c r="F40" s="18" t="str">
        <f>G40&amp;", Mumbai, 400001"</f>
        <v>123 Main St, Mumbai, 400001</v>
      </c>
      <c r="G40" s="19" t="s">
        <v>112</v>
      </c>
      <c r="J40" s="35" t="s">
        <v>33</v>
      </c>
      <c r="K40" s="35" t="s">
        <v>51</v>
      </c>
      <c r="L40" s="35" t="s">
        <v>66</v>
      </c>
    </row>
  </sheetData>
  <mergeCells count="23">
    <mergeCell ref="A1:P1"/>
    <mergeCell ref="B12:H12"/>
    <mergeCell ref="C27:M27"/>
    <mergeCell ref="B11:H11"/>
    <mergeCell ref="C23:M23"/>
    <mergeCell ref="A4:B4"/>
    <mergeCell ref="B14:H14"/>
    <mergeCell ref="B8:H8"/>
    <mergeCell ref="B13:H13"/>
    <mergeCell ref="C4:H4"/>
    <mergeCell ref="B10:H10"/>
    <mergeCell ref="A2:P2"/>
    <mergeCell ref="C26:M26"/>
    <mergeCell ref="B9:H9"/>
    <mergeCell ref="B6:H6"/>
    <mergeCell ref="B5:H5"/>
    <mergeCell ref="B7:H7"/>
    <mergeCell ref="A16:H16"/>
    <mergeCell ref="A29:P29"/>
    <mergeCell ref="C25:M25"/>
    <mergeCell ref="C22:M22"/>
    <mergeCell ref="C24:M24"/>
    <mergeCell ref="A20:P20"/>
  </mergeCells>
  <hyperlinks>
    <hyperlink ref="A22" r:id="rId1" location="Raw%20Data!A1" display="Raw Data (150 rows)" xr:uid="{00000000-0004-0000-0000-000000000000}"/>
    <hyperlink ref="N22" location="'Raw Data'!A1" display="→ Open Raw Data (150 rows)" xr:uid="{00000000-0004-0000-0000-000001000000}"/>
    <hyperlink ref="A23" r:id="rId2" location="Cleaned%20Data!A1" display="Cleaned Data (150 rows)" xr:uid="{00000000-0004-0000-0000-000002000000}"/>
    <hyperlink ref="N23" location="'Cleaned Data'!A1" display="→ Open Cleaned Data (150 rows)" xr:uid="{00000000-0004-0000-0000-000003000000}"/>
    <hyperlink ref="A24" r:id="rId3" location="Gantt%20Chart!A1" xr:uid="{00000000-0004-0000-0000-000004000000}"/>
    <hyperlink ref="N24" location="'Gantt Chart'!A1" display="→ Open Gantt Chart" xr:uid="{00000000-0004-0000-0000-000005000000}"/>
    <hyperlink ref="A25" r:id="rId4" location="Resource%20Planner!A1" xr:uid="{00000000-0004-0000-0000-000006000000}"/>
    <hyperlink ref="N25" location="'Resource Planner'!A1" display="→ Open Resource Planner" xr:uid="{00000000-0004-0000-0000-000007000000}"/>
    <hyperlink ref="A26" r:id="rId5" location="Task%20Tracker!A1" xr:uid="{00000000-0004-0000-0000-000008000000}"/>
    <hyperlink ref="N26" location="'Task Tracker'!A1" display="→ Open Task Tracker" xr:uid="{00000000-0004-0000-0000-000009000000}"/>
    <hyperlink ref="A27" r:id="rId6" location="Data%20Reference!A1" xr:uid="{00000000-0004-0000-0000-00000A000000}"/>
    <hyperlink ref="N27" location="'Data Reference'!A1" display="→ Open Data Reference" xr:uid="{00000000-0004-0000-0000-00000B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3"/>
  <sheetViews>
    <sheetView showGridLines="0" tabSelected="1" zoomScaleNormal="100" workbookViewId="0">
      <pane ySplit="3" topLeftCell="A131" activePane="bottomLeft" state="frozen"/>
      <selection sqref="A1:P1"/>
      <selection pane="bottomLeft" sqref="A1:O1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179" t="s">
        <v>467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</row>
    <row r="2" spans="1:15" ht="15" customHeight="1" x14ac:dyDescent="0.25">
      <c r="O2" s="160" t="s">
        <v>0</v>
      </c>
    </row>
    <row r="3" spans="1:15" ht="31.5" customHeight="1" x14ac:dyDescent="0.25">
      <c r="A3" s="36" t="s">
        <v>1</v>
      </c>
      <c r="B3" s="36" t="s">
        <v>2</v>
      </c>
      <c r="C3" s="36" t="s">
        <v>3</v>
      </c>
      <c r="D3" s="36" t="s">
        <v>4</v>
      </c>
      <c r="E3" s="36" t="s">
        <v>5</v>
      </c>
      <c r="F3" s="36" t="s">
        <v>6</v>
      </c>
      <c r="G3" s="36" t="s">
        <v>7</v>
      </c>
      <c r="H3" s="36" t="s">
        <v>8</v>
      </c>
      <c r="I3" s="36" t="s">
        <v>9</v>
      </c>
      <c r="J3" s="36" t="s">
        <v>10</v>
      </c>
      <c r="K3" s="36" t="s">
        <v>11</v>
      </c>
      <c r="L3" s="36" t="s">
        <v>12</v>
      </c>
      <c r="M3" s="36" t="s">
        <v>13</v>
      </c>
      <c r="N3" s="36" t="s">
        <v>113</v>
      </c>
      <c r="O3" s="36" t="s">
        <v>15</v>
      </c>
    </row>
    <row r="4" spans="1:15" ht="15" customHeight="1" x14ac:dyDescent="0.25">
      <c r="A4" s="37">
        <v>1</v>
      </c>
      <c r="B4" s="38" t="s">
        <v>17</v>
      </c>
      <c r="C4" s="37" t="s">
        <v>114</v>
      </c>
      <c r="D4" s="37" t="s">
        <v>25</v>
      </c>
      <c r="E4" s="37" t="s">
        <v>20</v>
      </c>
      <c r="F4" s="37" t="s">
        <v>115</v>
      </c>
      <c r="G4" s="37"/>
      <c r="H4" s="37" t="str">
        <f t="shared" ref="H4:H16" si="0">IF(OR(F4="",G4=""),"",G4-F4)</f>
        <v/>
      </c>
      <c r="I4" s="37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37" t="s">
        <v>116</v>
      </c>
      <c r="K4" s="37" t="s">
        <v>43</v>
      </c>
      <c r="L4" s="37" t="s">
        <v>117</v>
      </c>
      <c r="M4" s="37" t="str">
        <f t="shared" ref="M4:M16" si="2">IF(H4="","",H4*8)</f>
        <v/>
      </c>
      <c r="N4" s="39" t="str">
        <f t="shared" ref="N4:N16" si="3">IF(OR(L4="",H4=""),"",L4*H4)</f>
        <v/>
      </c>
      <c r="O4" s="37" t="s">
        <v>31</v>
      </c>
    </row>
    <row r="5" spans="1:15" ht="15" customHeight="1" x14ac:dyDescent="0.25">
      <c r="A5" s="40">
        <v>2</v>
      </c>
      <c r="B5" s="41" t="s">
        <v>23</v>
      </c>
      <c r="C5" s="40" t="s">
        <v>118</v>
      </c>
      <c r="D5" s="40" t="s">
        <v>119</v>
      </c>
      <c r="E5" s="40" t="s">
        <v>120</v>
      </c>
      <c r="F5" s="40" t="s">
        <v>121</v>
      </c>
      <c r="G5" s="40"/>
      <c r="H5" s="40" t="str">
        <f t="shared" si="0"/>
        <v/>
      </c>
      <c r="I5" s="40" t="str">
        <f t="shared" si="1"/>
        <v>Completed</v>
      </c>
      <c r="J5" s="40" t="s">
        <v>122</v>
      </c>
      <c r="K5" s="40" t="s">
        <v>123</v>
      </c>
      <c r="L5" s="40" t="s">
        <v>124</v>
      </c>
      <c r="M5" s="40" t="str">
        <f t="shared" si="2"/>
        <v/>
      </c>
      <c r="N5" s="42" t="str">
        <f t="shared" si="3"/>
        <v/>
      </c>
      <c r="O5" s="40" t="s">
        <v>31</v>
      </c>
    </row>
    <row r="6" spans="1:15" ht="15" customHeight="1" x14ac:dyDescent="0.25">
      <c r="A6" s="37">
        <v>3</v>
      </c>
      <c r="B6" s="38" t="s">
        <v>28</v>
      </c>
      <c r="C6" s="37" t="s">
        <v>29</v>
      </c>
      <c r="D6" s="37" t="s">
        <v>54</v>
      </c>
      <c r="E6" s="37" t="s">
        <v>125</v>
      </c>
      <c r="F6" s="37" t="s">
        <v>126</v>
      </c>
      <c r="G6" s="37"/>
      <c r="H6" s="37" t="str">
        <f t="shared" si="0"/>
        <v/>
      </c>
      <c r="I6" s="37" t="str">
        <f t="shared" si="1"/>
        <v>In Progress</v>
      </c>
      <c r="J6" s="37" t="s">
        <v>127</v>
      </c>
      <c r="K6" s="37" t="s">
        <v>128</v>
      </c>
      <c r="L6" s="37" t="s">
        <v>124</v>
      </c>
      <c r="M6" s="37" t="str">
        <f t="shared" si="2"/>
        <v/>
      </c>
      <c r="N6" s="39" t="str">
        <f t="shared" si="3"/>
        <v/>
      </c>
      <c r="O6" s="37" t="s">
        <v>31</v>
      </c>
    </row>
    <row r="7" spans="1:15" ht="15" customHeight="1" x14ac:dyDescent="0.25">
      <c r="A7" s="40">
        <v>4</v>
      </c>
      <c r="B7" s="41" t="s">
        <v>32</v>
      </c>
      <c r="C7" s="40" t="s">
        <v>129</v>
      </c>
      <c r="D7" s="40" t="s">
        <v>130</v>
      </c>
      <c r="E7" s="40" t="s">
        <v>131</v>
      </c>
      <c r="F7" s="40" t="s">
        <v>132</v>
      </c>
      <c r="G7" s="40"/>
      <c r="H7" s="40" t="str">
        <f t="shared" si="0"/>
        <v/>
      </c>
      <c r="I7" s="40" t="str">
        <f t="shared" si="1"/>
        <v>Not Started</v>
      </c>
      <c r="J7" s="40" t="s">
        <v>133</v>
      </c>
      <c r="K7" s="40" t="s">
        <v>134</v>
      </c>
      <c r="L7" s="40" t="s">
        <v>135</v>
      </c>
      <c r="M7" s="40" t="str">
        <f t="shared" si="2"/>
        <v/>
      </c>
      <c r="N7" s="42" t="str">
        <f t="shared" si="3"/>
        <v/>
      </c>
      <c r="O7" s="40" t="s">
        <v>31</v>
      </c>
    </row>
    <row r="8" spans="1:15" ht="15" customHeight="1" x14ac:dyDescent="0.25">
      <c r="A8" s="37">
        <v>5</v>
      </c>
      <c r="B8" s="38" t="s">
        <v>36</v>
      </c>
      <c r="C8" s="37" t="s">
        <v>114</v>
      </c>
      <c r="D8" s="37" t="s">
        <v>56</v>
      </c>
      <c r="E8" s="37" t="s">
        <v>38</v>
      </c>
      <c r="F8" s="37" t="s">
        <v>136</v>
      </c>
      <c r="G8" s="37"/>
      <c r="H8" s="37" t="str">
        <f t="shared" si="0"/>
        <v/>
      </c>
      <c r="I8" s="37" t="str">
        <f t="shared" si="1"/>
        <v>Completed</v>
      </c>
      <c r="J8" s="37" t="s">
        <v>137</v>
      </c>
      <c r="K8" s="37" t="s">
        <v>128</v>
      </c>
      <c r="L8" s="37" t="s">
        <v>138</v>
      </c>
      <c r="M8" s="37" t="str">
        <f t="shared" si="2"/>
        <v/>
      </c>
      <c r="N8" s="39" t="str">
        <f t="shared" si="3"/>
        <v/>
      </c>
      <c r="O8" s="37" t="s">
        <v>31</v>
      </c>
    </row>
    <row r="9" spans="1:15" ht="15" customHeight="1" x14ac:dyDescent="0.25">
      <c r="A9" s="40">
        <v>6</v>
      </c>
      <c r="B9" s="41" t="s">
        <v>39</v>
      </c>
      <c r="C9" s="40" t="s">
        <v>139</v>
      </c>
      <c r="D9" s="40" t="s">
        <v>140</v>
      </c>
      <c r="E9" s="40" t="s">
        <v>141</v>
      </c>
      <c r="F9" s="40" t="s">
        <v>142</v>
      </c>
      <c r="G9" s="40"/>
      <c r="H9" s="40" t="str">
        <f t="shared" si="0"/>
        <v/>
      </c>
      <c r="I9" s="40" t="str">
        <f t="shared" si="1"/>
        <v>In Progress</v>
      </c>
      <c r="J9" s="40" t="s">
        <v>143</v>
      </c>
      <c r="K9" s="40" t="s">
        <v>134</v>
      </c>
      <c r="L9" s="40" t="s">
        <v>144</v>
      </c>
      <c r="M9" s="40" t="str">
        <f t="shared" si="2"/>
        <v/>
      </c>
      <c r="N9" s="42" t="str">
        <f t="shared" si="3"/>
        <v/>
      </c>
      <c r="O9" s="40" t="s">
        <v>22</v>
      </c>
    </row>
    <row r="10" spans="1:15" ht="15" customHeight="1" x14ac:dyDescent="0.25">
      <c r="A10" s="37">
        <v>7</v>
      </c>
      <c r="B10" s="38" t="s">
        <v>23</v>
      </c>
      <c r="C10" s="37" t="s">
        <v>118</v>
      </c>
      <c r="D10" s="37"/>
      <c r="E10" s="37" t="s">
        <v>120</v>
      </c>
      <c r="F10" s="37" t="s">
        <v>121</v>
      </c>
      <c r="G10" s="37"/>
      <c r="H10" s="37" t="str">
        <f t="shared" si="0"/>
        <v/>
      </c>
      <c r="I10" s="37" t="str">
        <f t="shared" si="1"/>
        <v>Completed</v>
      </c>
      <c r="J10" s="37" t="s">
        <v>122</v>
      </c>
      <c r="K10" s="37" t="s">
        <v>123</v>
      </c>
      <c r="L10" s="37" t="s">
        <v>124</v>
      </c>
      <c r="M10" s="37" t="str">
        <f t="shared" si="2"/>
        <v/>
      </c>
      <c r="N10" s="39" t="str">
        <f t="shared" si="3"/>
        <v/>
      </c>
      <c r="O10" s="37" t="s">
        <v>31</v>
      </c>
    </row>
    <row r="11" spans="1:15" ht="15" customHeight="1" x14ac:dyDescent="0.25">
      <c r="A11" s="40">
        <v>8</v>
      </c>
      <c r="B11" s="41" t="s">
        <v>42</v>
      </c>
      <c r="C11" s="40" t="s">
        <v>129</v>
      </c>
      <c r="D11" s="40" t="s">
        <v>45</v>
      </c>
      <c r="E11" s="40" t="s">
        <v>145</v>
      </c>
      <c r="F11" s="40" t="s">
        <v>146</v>
      </c>
      <c r="G11" s="40"/>
      <c r="H11" s="40" t="str">
        <f t="shared" si="0"/>
        <v/>
      </c>
      <c r="I11" s="40" t="str">
        <f t="shared" si="1"/>
        <v>Completed</v>
      </c>
      <c r="J11" s="40" t="s">
        <v>122</v>
      </c>
      <c r="K11" s="40" t="s">
        <v>43</v>
      </c>
      <c r="L11" s="40" t="s">
        <v>147</v>
      </c>
      <c r="M11" s="40" t="str">
        <f t="shared" si="2"/>
        <v/>
      </c>
      <c r="N11" s="42" t="str">
        <f t="shared" si="3"/>
        <v/>
      </c>
      <c r="O11" s="40" t="s">
        <v>31</v>
      </c>
    </row>
    <row r="12" spans="1:15" ht="15" customHeight="1" x14ac:dyDescent="0.25">
      <c r="A12" s="37">
        <v>9</v>
      </c>
      <c r="B12" s="38" t="s">
        <v>44</v>
      </c>
      <c r="C12" s="37" t="s">
        <v>148</v>
      </c>
      <c r="D12" s="37" t="s">
        <v>48</v>
      </c>
      <c r="E12" s="37" t="s">
        <v>34</v>
      </c>
      <c r="F12" s="37" t="s">
        <v>149</v>
      </c>
      <c r="G12" s="37"/>
      <c r="H12" s="37" t="str">
        <f t="shared" si="0"/>
        <v/>
      </c>
      <c r="I12" s="37" t="str">
        <f t="shared" si="1"/>
        <v>In Progress</v>
      </c>
      <c r="J12" s="37" t="s">
        <v>150</v>
      </c>
      <c r="K12" s="37" t="s">
        <v>151</v>
      </c>
      <c r="L12" s="37" t="s">
        <v>152</v>
      </c>
      <c r="M12" s="37" t="str">
        <f t="shared" si="2"/>
        <v/>
      </c>
      <c r="N12" s="39" t="str">
        <f t="shared" si="3"/>
        <v/>
      </c>
      <c r="O12" s="37" t="s">
        <v>153</v>
      </c>
    </row>
    <row r="13" spans="1:15" ht="15" customHeight="1" x14ac:dyDescent="0.25">
      <c r="A13" s="40">
        <v>10</v>
      </c>
      <c r="B13" s="41" t="s">
        <v>154</v>
      </c>
      <c r="C13" s="40" t="s">
        <v>155</v>
      </c>
      <c r="D13" s="40" t="s">
        <v>60</v>
      </c>
      <c r="E13" s="40" t="s">
        <v>156</v>
      </c>
      <c r="F13" s="40" t="s">
        <v>157</v>
      </c>
      <c r="G13" s="40"/>
      <c r="H13" s="40" t="str">
        <f t="shared" si="0"/>
        <v/>
      </c>
      <c r="I13" s="40" t="str">
        <f t="shared" si="1"/>
        <v>In Progress</v>
      </c>
      <c r="J13" s="40" t="s">
        <v>158</v>
      </c>
      <c r="K13" s="40" t="s">
        <v>159</v>
      </c>
      <c r="L13" s="40" t="s">
        <v>144</v>
      </c>
      <c r="M13" s="40" t="str">
        <f t="shared" si="2"/>
        <v/>
      </c>
      <c r="N13" s="42" t="str">
        <f t="shared" si="3"/>
        <v/>
      </c>
      <c r="O13" s="40" t="s">
        <v>31</v>
      </c>
    </row>
    <row r="14" spans="1:15" ht="15" customHeight="1" x14ac:dyDescent="0.25">
      <c r="A14" s="37">
        <v>11</v>
      </c>
      <c r="B14" s="38" t="s">
        <v>17</v>
      </c>
      <c r="C14" s="37" t="s">
        <v>160</v>
      </c>
      <c r="D14" s="37" t="s">
        <v>48</v>
      </c>
      <c r="E14" s="37" t="s">
        <v>20</v>
      </c>
      <c r="F14" s="37" t="s">
        <v>161</v>
      </c>
      <c r="G14" s="37"/>
      <c r="H14" s="37" t="str">
        <f t="shared" si="0"/>
        <v/>
      </c>
      <c r="I14" s="37" t="str">
        <f t="shared" si="1"/>
        <v>In Progress</v>
      </c>
      <c r="J14" s="37" t="s">
        <v>162</v>
      </c>
      <c r="K14" s="37" t="s">
        <v>43</v>
      </c>
      <c r="L14" s="37" t="s">
        <v>117</v>
      </c>
      <c r="M14" s="37" t="str">
        <f t="shared" si="2"/>
        <v/>
      </c>
      <c r="N14" s="39" t="str">
        <f t="shared" si="3"/>
        <v/>
      </c>
      <c r="O14" s="37" t="s">
        <v>163</v>
      </c>
    </row>
    <row r="15" spans="1:15" ht="15" customHeight="1" x14ac:dyDescent="0.25">
      <c r="A15" s="40">
        <v>12</v>
      </c>
      <c r="B15" s="41" t="s">
        <v>23</v>
      </c>
      <c r="C15" s="40" t="s">
        <v>164</v>
      </c>
      <c r="D15" s="40" t="s">
        <v>53</v>
      </c>
      <c r="E15" s="40" t="s">
        <v>165</v>
      </c>
      <c r="F15" s="40" t="s">
        <v>166</v>
      </c>
      <c r="G15" s="40" t="s">
        <v>167</v>
      </c>
      <c r="H15" s="40">
        <f t="shared" si="0"/>
        <v>-81</v>
      </c>
      <c r="I15" s="40" t="str">
        <f t="shared" si="1"/>
        <v>Not Started</v>
      </c>
      <c r="J15" s="40" t="s">
        <v>168</v>
      </c>
      <c r="K15" s="40" t="s">
        <v>51</v>
      </c>
      <c r="L15" s="40" t="s">
        <v>152</v>
      </c>
      <c r="M15" s="40">
        <f t="shared" si="2"/>
        <v>-648</v>
      </c>
      <c r="N15" s="42" t="e">
        <f t="shared" si="3"/>
        <v>#VALUE!</v>
      </c>
      <c r="O15" s="40" t="s">
        <v>49</v>
      </c>
    </row>
    <row r="16" spans="1:15" ht="15" customHeight="1" x14ac:dyDescent="0.25">
      <c r="A16" s="37">
        <v>13</v>
      </c>
      <c r="B16" s="38" t="s">
        <v>28</v>
      </c>
      <c r="C16" s="37" t="s">
        <v>114</v>
      </c>
      <c r="D16" s="37" t="s">
        <v>169</v>
      </c>
      <c r="E16" s="37" t="s">
        <v>170</v>
      </c>
      <c r="F16" s="37" t="s">
        <v>171</v>
      </c>
      <c r="G16" s="37"/>
      <c r="H16" s="37" t="str">
        <f t="shared" si="0"/>
        <v/>
      </c>
      <c r="I16" s="37" t="str">
        <f t="shared" si="1"/>
        <v>Completed</v>
      </c>
      <c r="J16" s="37" t="s">
        <v>172</v>
      </c>
      <c r="K16" s="37" t="s">
        <v>173</v>
      </c>
      <c r="L16" s="37" t="s">
        <v>152</v>
      </c>
      <c r="M16" s="37" t="str">
        <f t="shared" si="2"/>
        <v/>
      </c>
      <c r="N16" s="39" t="str">
        <f t="shared" si="3"/>
        <v/>
      </c>
      <c r="O16" s="37" t="s">
        <v>59</v>
      </c>
    </row>
    <row r="17" spans="1:15" ht="15" customHeight="1" x14ac:dyDescent="0.25">
      <c r="A17" s="40">
        <v>14</v>
      </c>
      <c r="B17" s="41"/>
      <c r="C17" s="40" t="s">
        <v>24</v>
      </c>
      <c r="D17" s="40" t="s">
        <v>52</v>
      </c>
      <c r="E17" s="40" t="s">
        <v>131</v>
      </c>
      <c r="F17" s="40" t="s">
        <v>174</v>
      </c>
      <c r="G17" s="40"/>
      <c r="H17" s="40">
        <v>28</v>
      </c>
      <c r="I17" s="40" t="s">
        <v>175</v>
      </c>
      <c r="J17" s="40" t="s">
        <v>176</v>
      </c>
      <c r="K17" s="40" t="s">
        <v>173</v>
      </c>
      <c r="L17" s="40" t="s">
        <v>152</v>
      </c>
      <c r="M17" s="40" t="s">
        <v>177</v>
      </c>
      <c r="N17" s="42" t="s">
        <v>178</v>
      </c>
      <c r="O17" s="40" t="s">
        <v>49</v>
      </c>
    </row>
    <row r="18" spans="1:15" ht="15" customHeight="1" x14ac:dyDescent="0.25">
      <c r="A18" s="37">
        <v>15</v>
      </c>
      <c r="B18" s="38" t="s">
        <v>36</v>
      </c>
      <c r="C18" s="37" t="s">
        <v>179</v>
      </c>
      <c r="D18" s="37" t="s">
        <v>180</v>
      </c>
      <c r="E18" s="37"/>
      <c r="F18" s="37" t="s">
        <v>181</v>
      </c>
      <c r="G18" s="37"/>
      <c r="H18" s="37" t="str">
        <f t="shared" ref="H18:H49" si="4">IF(OR(F18="",G18=""),"",G18-F18)</f>
        <v/>
      </c>
      <c r="I18" s="37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37" t="s">
        <v>182</v>
      </c>
      <c r="K18" s="37" t="s">
        <v>134</v>
      </c>
      <c r="L18" s="37" t="s">
        <v>117</v>
      </c>
      <c r="M18" s="37" t="str">
        <f t="shared" ref="M18:M49" si="6">IF(H18="","",H18*8)</f>
        <v/>
      </c>
      <c r="N18" s="39" t="str">
        <f t="shared" ref="N18:N49" si="7">IF(OR(L18="",H18=""),"",L18*H18)</f>
        <v/>
      </c>
      <c r="O18" s="37" t="s">
        <v>55</v>
      </c>
    </row>
    <row r="19" spans="1:15" ht="15" customHeight="1" x14ac:dyDescent="0.25">
      <c r="A19" s="40">
        <v>16</v>
      </c>
      <c r="B19" s="41" t="s">
        <v>39</v>
      </c>
      <c r="C19" s="40" t="s">
        <v>33</v>
      </c>
      <c r="D19" s="40" t="s">
        <v>19</v>
      </c>
      <c r="E19" s="40" t="s">
        <v>141</v>
      </c>
      <c r="F19" s="40" t="s">
        <v>183</v>
      </c>
      <c r="G19" s="40"/>
      <c r="H19" s="40" t="str">
        <f t="shared" si="4"/>
        <v/>
      </c>
      <c r="I19" s="40" t="str">
        <f t="shared" si="5"/>
        <v>In Progress</v>
      </c>
      <c r="J19" s="40" t="s">
        <v>143</v>
      </c>
      <c r="K19" s="40" t="s">
        <v>128</v>
      </c>
      <c r="L19" s="40" t="s">
        <v>138</v>
      </c>
      <c r="M19" s="40" t="str">
        <f t="shared" si="6"/>
        <v/>
      </c>
      <c r="N19" s="42" t="str">
        <f t="shared" si="7"/>
        <v/>
      </c>
      <c r="O19" s="40" t="s">
        <v>22</v>
      </c>
    </row>
    <row r="20" spans="1:15" ht="15" customHeight="1" x14ac:dyDescent="0.25">
      <c r="A20" s="37">
        <v>17</v>
      </c>
      <c r="B20" s="38" t="s">
        <v>40</v>
      </c>
      <c r="C20" s="37" t="s">
        <v>184</v>
      </c>
      <c r="D20" s="37" t="s">
        <v>185</v>
      </c>
      <c r="E20" s="37" t="s">
        <v>26</v>
      </c>
      <c r="F20" s="37" t="s">
        <v>186</v>
      </c>
      <c r="G20" s="37"/>
      <c r="H20" s="37" t="str">
        <f t="shared" si="4"/>
        <v/>
      </c>
      <c r="I20" s="37" t="str">
        <f t="shared" si="5"/>
        <v>Not Started</v>
      </c>
      <c r="J20" s="37" t="s">
        <v>133</v>
      </c>
      <c r="K20" s="37" t="s">
        <v>187</v>
      </c>
      <c r="L20" s="37" t="s">
        <v>147</v>
      </c>
      <c r="M20" s="37" t="str">
        <f t="shared" si="6"/>
        <v/>
      </c>
      <c r="N20" s="39" t="str">
        <f t="shared" si="7"/>
        <v/>
      </c>
      <c r="O20" s="37" t="s">
        <v>35</v>
      </c>
    </row>
    <row r="21" spans="1:15" ht="15" customHeight="1" x14ac:dyDescent="0.25">
      <c r="A21" s="40">
        <v>18</v>
      </c>
      <c r="B21" s="41" t="s">
        <v>42</v>
      </c>
      <c r="C21" s="40" t="s">
        <v>155</v>
      </c>
      <c r="D21" s="40" t="s">
        <v>57</v>
      </c>
      <c r="E21" s="40" t="s">
        <v>170</v>
      </c>
      <c r="F21" s="40" t="s">
        <v>188</v>
      </c>
      <c r="G21" s="40"/>
      <c r="H21" s="40" t="str">
        <f t="shared" si="4"/>
        <v/>
      </c>
      <c r="I21" s="40" t="str">
        <f t="shared" si="5"/>
        <v>In Progress</v>
      </c>
      <c r="J21" s="40" t="s">
        <v>189</v>
      </c>
      <c r="K21" s="40" t="s">
        <v>128</v>
      </c>
      <c r="L21" s="40" t="s">
        <v>147</v>
      </c>
      <c r="M21" s="40" t="str">
        <f t="shared" si="6"/>
        <v/>
      </c>
      <c r="N21" s="42" t="str">
        <f t="shared" si="7"/>
        <v/>
      </c>
      <c r="O21" s="40" t="s">
        <v>31</v>
      </c>
    </row>
    <row r="22" spans="1:15" ht="15" customHeight="1" x14ac:dyDescent="0.25">
      <c r="A22" s="37">
        <v>19</v>
      </c>
      <c r="B22" s="38" t="s">
        <v>44</v>
      </c>
      <c r="C22" s="37" t="s">
        <v>190</v>
      </c>
      <c r="D22" s="37" t="s">
        <v>191</v>
      </c>
      <c r="E22" s="37" t="s">
        <v>131</v>
      </c>
      <c r="F22" s="37" t="s">
        <v>192</v>
      </c>
      <c r="G22" s="37"/>
      <c r="H22" s="37" t="str">
        <f t="shared" si="4"/>
        <v/>
      </c>
      <c r="I22" s="37" t="str">
        <f t="shared" si="5"/>
        <v>Not Started</v>
      </c>
      <c r="J22" s="37" t="s">
        <v>133</v>
      </c>
      <c r="K22" s="37" t="s">
        <v>134</v>
      </c>
      <c r="L22" s="37" t="s">
        <v>124</v>
      </c>
      <c r="M22" s="37" t="str">
        <f t="shared" si="6"/>
        <v/>
      </c>
      <c r="N22" s="39" t="str">
        <f t="shared" si="7"/>
        <v/>
      </c>
      <c r="O22" s="37" t="s">
        <v>55</v>
      </c>
    </row>
    <row r="23" spans="1:15" ht="15" customHeight="1" x14ac:dyDescent="0.25">
      <c r="A23" s="40">
        <v>20</v>
      </c>
      <c r="B23" s="41" t="s">
        <v>46</v>
      </c>
      <c r="C23" s="40" t="s">
        <v>33</v>
      </c>
      <c r="D23" s="40" t="s">
        <v>37</v>
      </c>
      <c r="E23" s="40" t="s">
        <v>38</v>
      </c>
      <c r="F23" s="40" t="s">
        <v>193</v>
      </c>
      <c r="G23" s="40"/>
      <c r="H23" s="40" t="str">
        <f t="shared" si="4"/>
        <v/>
      </c>
      <c r="I23" s="40" t="str">
        <f t="shared" si="5"/>
        <v>Completed</v>
      </c>
      <c r="J23" s="40" t="s">
        <v>122</v>
      </c>
      <c r="K23" s="40" t="s">
        <v>159</v>
      </c>
      <c r="L23" s="40" t="s">
        <v>135</v>
      </c>
      <c r="M23" s="40" t="str">
        <f t="shared" si="6"/>
        <v/>
      </c>
      <c r="N23" s="42" t="str">
        <f t="shared" si="7"/>
        <v/>
      </c>
      <c r="O23" s="40" t="s">
        <v>59</v>
      </c>
    </row>
    <row r="24" spans="1:15" ht="15" customHeight="1" x14ac:dyDescent="0.25">
      <c r="A24" s="37">
        <v>21</v>
      </c>
      <c r="B24" s="38" t="s">
        <v>17</v>
      </c>
      <c r="C24" s="37" t="s">
        <v>194</v>
      </c>
      <c r="D24" s="37" t="s">
        <v>195</v>
      </c>
      <c r="E24" s="37" t="s">
        <v>196</v>
      </c>
      <c r="F24" s="37" t="s">
        <v>197</v>
      </c>
      <c r="G24" s="37"/>
      <c r="H24" s="37" t="str">
        <f t="shared" si="4"/>
        <v/>
      </c>
      <c r="I24" s="37" t="str">
        <f t="shared" si="5"/>
        <v>In Progress</v>
      </c>
      <c r="J24" s="37" t="s">
        <v>127</v>
      </c>
      <c r="K24" s="37" t="s">
        <v>128</v>
      </c>
      <c r="L24" s="37" t="s">
        <v>124</v>
      </c>
      <c r="M24" s="37" t="str">
        <f t="shared" si="6"/>
        <v/>
      </c>
      <c r="N24" s="39" t="str">
        <f t="shared" si="7"/>
        <v/>
      </c>
      <c r="O24" s="37" t="s">
        <v>49</v>
      </c>
    </row>
    <row r="25" spans="1:15" ht="15" customHeight="1" x14ac:dyDescent="0.25">
      <c r="A25" s="40">
        <v>22</v>
      </c>
      <c r="B25" s="41" t="s">
        <v>23</v>
      </c>
      <c r="C25" s="40" t="s">
        <v>139</v>
      </c>
      <c r="D25" s="40" t="s">
        <v>198</v>
      </c>
      <c r="E25" s="40" t="s">
        <v>165</v>
      </c>
      <c r="F25" s="40" t="s">
        <v>199</v>
      </c>
      <c r="G25" s="40"/>
      <c r="H25" s="40" t="str">
        <f t="shared" si="4"/>
        <v/>
      </c>
      <c r="I25" s="40" t="str">
        <f t="shared" si="5"/>
        <v>In Progress</v>
      </c>
      <c r="J25" s="40" t="s">
        <v>200</v>
      </c>
      <c r="K25" s="40" t="s">
        <v>201</v>
      </c>
      <c r="L25" s="40" t="s">
        <v>117</v>
      </c>
      <c r="M25" s="40" t="str">
        <f t="shared" si="6"/>
        <v/>
      </c>
      <c r="N25" s="42" t="str">
        <f t="shared" si="7"/>
        <v/>
      </c>
      <c r="O25" s="40" t="s">
        <v>31</v>
      </c>
    </row>
    <row r="26" spans="1:15" ht="15" customHeight="1" x14ac:dyDescent="0.25">
      <c r="A26" s="37">
        <v>23</v>
      </c>
      <c r="B26" s="38" t="s">
        <v>39</v>
      </c>
      <c r="C26" s="37" t="s">
        <v>139</v>
      </c>
      <c r="D26" s="37" t="s">
        <v>140</v>
      </c>
      <c r="E26" s="37" t="s">
        <v>141</v>
      </c>
      <c r="F26" s="37" t="s">
        <v>142</v>
      </c>
      <c r="G26" s="37"/>
      <c r="H26" s="37" t="str">
        <f t="shared" si="4"/>
        <v/>
      </c>
      <c r="I26" s="37" t="str">
        <f t="shared" si="5"/>
        <v>In Progress</v>
      </c>
      <c r="J26" s="37" t="s">
        <v>143</v>
      </c>
      <c r="K26" s="37" t="s">
        <v>134</v>
      </c>
      <c r="L26" s="37" t="s">
        <v>144</v>
      </c>
      <c r="M26" s="37" t="str">
        <f t="shared" si="6"/>
        <v/>
      </c>
      <c r="N26" s="39" t="str">
        <f t="shared" si="7"/>
        <v/>
      </c>
      <c r="O26" s="37" t="s">
        <v>22</v>
      </c>
    </row>
    <row r="27" spans="1:15" ht="15" customHeight="1" x14ac:dyDescent="0.25">
      <c r="A27" s="40">
        <v>24</v>
      </c>
      <c r="B27" s="41" t="s">
        <v>32</v>
      </c>
      <c r="C27" s="40" t="s">
        <v>129</v>
      </c>
      <c r="D27" s="40" t="s">
        <v>41</v>
      </c>
      <c r="E27" s="40" t="s">
        <v>131</v>
      </c>
      <c r="F27" s="40" t="s">
        <v>202</v>
      </c>
      <c r="G27" s="40"/>
      <c r="H27" s="40" t="str">
        <f t="shared" si="4"/>
        <v/>
      </c>
      <c r="I27" s="40" t="str">
        <f t="shared" si="5"/>
        <v>Completed</v>
      </c>
      <c r="J27" s="40" t="s">
        <v>122</v>
      </c>
      <c r="K27" s="40" t="s">
        <v>27</v>
      </c>
      <c r="L27" s="40" t="s">
        <v>147</v>
      </c>
      <c r="M27" s="40" t="str">
        <f t="shared" si="6"/>
        <v/>
      </c>
      <c r="N27" s="42" t="str">
        <f t="shared" si="7"/>
        <v/>
      </c>
      <c r="O27" s="40" t="s">
        <v>59</v>
      </c>
    </row>
    <row r="28" spans="1:15" ht="15" customHeight="1" x14ac:dyDescent="0.25">
      <c r="A28" s="37">
        <v>25</v>
      </c>
      <c r="B28" s="38" t="s">
        <v>36</v>
      </c>
      <c r="C28" s="37" t="s">
        <v>18</v>
      </c>
      <c r="D28" s="37" t="s">
        <v>203</v>
      </c>
      <c r="E28" s="37" t="s">
        <v>156</v>
      </c>
      <c r="F28" s="37" t="s">
        <v>204</v>
      </c>
      <c r="G28" s="37"/>
      <c r="H28" s="37" t="str">
        <f t="shared" si="4"/>
        <v/>
      </c>
      <c r="I28" s="37" t="str">
        <f t="shared" si="5"/>
        <v>In Progress</v>
      </c>
      <c r="J28" s="37" t="s">
        <v>205</v>
      </c>
      <c r="K28" s="37" t="s">
        <v>134</v>
      </c>
      <c r="L28" s="37" t="s">
        <v>152</v>
      </c>
      <c r="M28" s="37" t="str">
        <f t="shared" si="6"/>
        <v/>
      </c>
      <c r="N28" s="39" t="str">
        <f t="shared" si="7"/>
        <v/>
      </c>
      <c r="O28" s="37" t="s">
        <v>35</v>
      </c>
    </row>
    <row r="29" spans="1:15" ht="15" customHeight="1" x14ac:dyDescent="0.25">
      <c r="A29" s="40">
        <v>26</v>
      </c>
      <c r="B29" s="41" t="s">
        <v>39</v>
      </c>
      <c r="C29" s="40" t="s">
        <v>139</v>
      </c>
      <c r="D29" s="40" t="s">
        <v>206</v>
      </c>
      <c r="E29" s="40" t="s">
        <v>20</v>
      </c>
      <c r="F29" s="40" t="s">
        <v>207</v>
      </c>
      <c r="G29" s="40"/>
      <c r="H29" s="40" t="str">
        <f t="shared" si="4"/>
        <v/>
      </c>
      <c r="I29" s="40" t="str">
        <f t="shared" si="5"/>
        <v>Not Started</v>
      </c>
      <c r="J29" s="40" t="s">
        <v>208</v>
      </c>
      <c r="K29" s="40" t="s">
        <v>173</v>
      </c>
      <c r="L29" s="40" t="s">
        <v>147</v>
      </c>
      <c r="M29" s="40" t="str">
        <f t="shared" si="6"/>
        <v/>
      </c>
      <c r="N29" s="42" t="str">
        <f t="shared" si="7"/>
        <v/>
      </c>
      <c r="O29" s="40" t="s">
        <v>22</v>
      </c>
    </row>
    <row r="30" spans="1:15" ht="15" customHeight="1" x14ac:dyDescent="0.25">
      <c r="A30" s="37">
        <v>27</v>
      </c>
      <c r="B30" s="38" t="s">
        <v>40</v>
      </c>
      <c r="C30" s="37" t="s">
        <v>209</v>
      </c>
      <c r="D30" s="37" t="s">
        <v>60</v>
      </c>
      <c r="E30" s="37" t="s">
        <v>165</v>
      </c>
      <c r="F30" s="37" t="s">
        <v>210</v>
      </c>
      <c r="G30" s="37"/>
      <c r="H30" s="37" t="str">
        <f t="shared" si="4"/>
        <v/>
      </c>
      <c r="I30" s="37" t="str">
        <f t="shared" si="5"/>
        <v>Completed</v>
      </c>
      <c r="J30" s="37" t="s">
        <v>172</v>
      </c>
      <c r="K30" s="37" t="s">
        <v>128</v>
      </c>
      <c r="L30" s="37" t="s">
        <v>124</v>
      </c>
      <c r="M30" s="37" t="str">
        <f t="shared" si="6"/>
        <v/>
      </c>
      <c r="N30" s="39" t="str">
        <f t="shared" si="7"/>
        <v/>
      </c>
      <c r="O30" s="37" t="s">
        <v>22</v>
      </c>
    </row>
    <row r="31" spans="1:15" ht="15" customHeight="1" x14ac:dyDescent="0.25">
      <c r="A31" s="40">
        <v>28</v>
      </c>
      <c r="B31" s="41" t="s">
        <v>42</v>
      </c>
      <c r="C31" s="40" t="s">
        <v>211</v>
      </c>
      <c r="D31" s="40" t="s">
        <v>212</v>
      </c>
      <c r="E31" s="40" t="s">
        <v>125</v>
      </c>
      <c r="F31" s="40" t="s">
        <v>121</v>
      </c>
      <c r="G31" s="40"/>
      <c r="H31" s="40" t="str">
        <f t="shared" si="4"/>
        <v/>
      </c>
      <c r="I31" s="40" t="str">
        <f t="shared" si="5"/>
        <v>Completed</v>
      </c>
      <c r="J31" s="40" t="s">
        <v>213</v>
      </c>
      <c r="K31" s="40" t="s">
        <v>43</v>
      </c>
      <c r="L31" s="40" t="s">
        <v>135</v>
      </c>
      <c r="M31" s="40" t="str">
        <f t="shared" si="6"/>
        <v/>
      </c>
      <c r="N31" s="42" t="str">
        <f t="shared" si="7"/>
        <v/>
      </c>
      <c r="O31" s="40" t="s">
        <v>214</v>
      </c>
    </row>
    <row r="32" spans="1:15" ht="15" customHeight="1" x14ac:dyDescent="0.25">
      <c r="A32" s="37">
        <v>29</v>
      </c>
      <c r="B32" s="38" t="s">
        <v>44</v>
      </c>
      <c r="C32" s="37" t="s">
        <v>18</v>
      </c>
      <c r="D32" s="37" t="s">
        <v>52</v>
      </c>
      <c r="E32" s="37" t="s">
        <v>34</v>
      </c>
      <c r="F32" s="37" t="s">
        <v>215</v>
      </c>
      <c r="G32" s="37"/>
      <c r="H32" s="37" t="str">
        <f t="shared" si="4"/>
        <v/>
      </c>
      <c r="I32" s="37" t="str">
        <f t="shared" si="5"/>
        <v>In Progress</v>
      </c>
      <c r="J32" s="37" t="s">
        <v>158</v>
      </c>
      <c r="K32" s="37" t="s">
        <v>21</v>
      </c>
      <c r="L32" s="37" t="s">
        <v>144</v>
      </c>
      <c r="M32" s="37" t="str">
        <f t="shared" si="6"/>
        <v/>
      </c>
      <c r="N32" s="39" t="str">
        <f t="shared" si="7"/>
        <v/>
      </c>
      <c r="O32" s="37" t="s">
        <v>35</v>
      </c>
    </row>
    <row r="33" spans="1:15" ht="15" customHeight="1" x14ac:dyDescent="0.25">
      <c r="A33" s="40">
        <v>30</v>
      </c>
      <c r="B33" s="41" t="s">
        <v>46</v>
      </c>
      <c r="C33" s="40" t="s">
        <v>139</v>
      </c>
      <c r="D33" s="40" t="s">
        <v>52</v>
      </c>
      <c r="E33" s="40" t="s">
        <v>156</v>
      </c>
      <c r="F33" s="40" t="s">
        <v>216</v>
      </c>
      <c r="G33" s="40"/>
      <c r="H33" s="40" t="str">
        <f t="shared" si="4"/>
        <v/>
      </c>
      <c r="I33" s="40" t="str">
        <f t="shared" si="5"/>
        <v>In Progress</v>
      </c>
      <c r="J33" s="40" t="s">
        <v>217</v>
      </c>
      <c r="K33" s="40" t="s">
        <v>134</v>
      </c>
      <c r="L33" s="40" t="s">
        <v>117</v>
      </c>
      <c r="M33" s="40" t="str">
        <f t="shared" si="6"/>
        <v/>
      </c>
      <c r="N33" s="42" t="str">
        <f t="shared" si="7"/>
        <v/>
      </c>
      <c r="O33" s="40" t="s">
        <v>49</v>
      </c>
    </row>
    <row r="34" spans="1:15" ht="15" customHeight="1" x14ac:dyDescent="0.25">
      <c r="A34" s="37">
        <v>31</v>
      </c>
      <c r="B34" s="38" t="s">
        <v>17</v>
      </c>
      <c r="C34" s="37" t="s">
        <v>29</v>
      </c>
      <c r="D34" s="37" t="s">
        <v>52</v>
      </c>
      <c r="E34" s="37" t="s">
        <v>196</v>
      </c>
      <c r="F34" s="37" t="s">
        <v>218</v>
      </c>
      <c r="G34" s="37"/>
      <c r="H34" s="37" t="str">
        <f t="shared" si="4"/>
        <v/>
      </c>
      <c r="I34" s="37" t="str">
        <f t="shared" si="5"/>
        <v>Completed</v>
      </c>
      <c r="J34" s="37" t="s">
        <v>213</v>
      </c>
      <c r="K34" s="37" t="s">
        <v>173</v>
      </c>
      <c r="L34" s="37" t="s">
        <v>138</v>
      </c>
      <c r="M34" s="37" t="str">
        <f t="shared" si="6"/>
        <v/>
      </c>
      <c r="N34" s="39" t="str">
        <f t="shared" si="7"/>
        <v/>
      </c>
      <c r="O34" s="37" t="s">
        <v>214</v>
      </c>
    </row>
    <row r="35" spans="1:15" ht="15" customHeight="1" x14ac:dyDescent="0.25">
      <c r="A35" s="40">
        <v>32</v>
      </c>
      <c r="B35" s="41" t="s">
        <v>23</v>
      </c>
      <c r="C35" s="40" t="s">
        <v>211</v>
      </c>
      <c r="D35" s="40" t="s">
        <v>219</v>
      </c>
      <c r="E35" s="40" t="s">
        <v>26</v>
      </c>
      <c r="F35" s="40" t="s">
        <v>166</v>
      </c>
      <c r="G35" s="40"/>
      <c r="H35" s="40" t="str">
        <f t="shared" si="4"/>
        <v/>
      </c>
      <c r="I35" s="40" t="str">
        <f t="shared" si="5"/>
        <v>Completed</v>
      </c>
      <c r="J35" s="40" t="s">
        <v>172</v>
      </c>
      <c r="K35" s="40" t="s">
        <v>27</v>
      </c>
      <c r="L35" s="40" t="s">
        <v>147</v>
      </c>
      <c r="M35" s="40" t="str">
        <f t="shared" si="6"/>
        <v/>
      </c>
      <c r="N35" s="42" t="str">
        <f t="shared" si="7"/>
        <v/>
      </c>
      <c r="O35" s="40" t="s">
        <v>49</v>
      </c>
    </row>
    <row r="36" spans="1:15" ht="15" customHeight="1" x14ac:dyDescent="0.25">
      <c r="A36" s="37">
        <v>33</v>
      </c>
      <c r="B36" s="38" t="s">
        <v>28</v>
      </c>
      <c r="C36" s="37" t="s">
        <v>114</v>
      </c>
      <c r="D36" s="37" t="s">
        <v>220</v>
      </c>
      <c r="E36" s="37" t="s">
        <v>30</v>
      </c>
      <c r="F36" s="37" t="s">
        <v>221</v>
      </c>
      <c r="G36" s="37"/>
      <c r="H36" s="37" t="str">
        <f t="shared" si="4"/>
        <v/>
      </c>
      <c r="I36" s="37" t="str">
        <f t="shared" si="5"/>
        <v>In Progress</v>
      </c>
      <c r="J36" s="37" t="s">
        <v>182</v>
      </c>
      <c r="K36" s="37" t="s">
        <v>134</v>
      </c>
      <c r="L36" s="37" t="s">
        <v>144</v>
      </c>
      <c r="M36" s="37" t="str">
        <f t="shared" si="6"/>
        <v/>
      </c>
      <c r="N36" s="39" t="str">
        <f t="shared" si="7"/>
        <v/>
      </c>
      <c r="O36" s="37" t="s">
        <v>22</v>
      </c>
    </row>
    <row r="37" spans="1:15" ht="15" customHeight="1" x14ac:dyDescent="0.25">
      <c r="A37" s="40">
        <v>34</v>
      </c>
      <c r="B37" s="41" t="s">
        <v>32</v>
      </c>
      <c r="C37" s="40" t="s">
        <v>139</v>
      </c>
      <c r="D37" s="40" t="s">
        <v>37</v>
      </c>
      <c r="E37" s="40" t="s">
        <v>131</v>
      </c>
      <c r="F37" s="40" t="s">
        <v>222</v>
      </c>
      <c r="G37" s="40"/>
      <c r="H37" s="40" t="str">
        <f t="shared" si="4"/>
        <v/>
      </c>
      <c r="I37" s="40" t="str">
        <f t="shared" si="5"/>
        <v>Completed</v>
      </c>
      <c r="J37" s="40" t="s">
        <v>122</v>
      </c>
      <c r="K37" s="40" t="s">
        <v>134</v>
      </c>
      <c r="L37" s="40" t="s">
        <v>135</v>
      </c>
      <c r="M37" s="40" t="str">
        <f t="shared" si="6"/>
        <v/>
      </c>
      <c r="N37" s="42" t="str">
        <f t="shared" si="7"/>
        <v/>
      </c>
      <c r="O37" s="40" t="s">
        <v>31</v>
      </c>
    </row>
    <row r="38" spans="1:15" ht="15" customHeight="1" x14ac:dyDescent="0.25">
      <c r="A38" s="37">
        <v>35</v>
      </c>
      <c r="B38" s="38" t="s">
        <v>36</v>
      </c>
      <c r="C38" s="37" t="s">
        <v>179</v>
      </c>
      <c r="D38" s="37" t="s">
        <v>130</v>
      </c>
      <c r="E38" s="37" t="s">
        <v>38</v>
      </c>
      <c r="F38" s="37" t="s">
        <v>223</v>
      </c>
      <c r="G38" s="37"/>
      <c r="H38" s="37" t="str">
        <f t="shared" si="4"/>
        <v/>
      </c>
      <c r="I38" s="37" t="str">
        <f t="shared" si="5"/>
        <v>In Progress</v>
      </c>
      <c r="J38" s="37" t="s">
        <v>205</v>
      </c>
      <c r="K38" s="37" t="s">
        <v>21</v>
      </c>
      <c r="L38" s="37" t="s">
        <v>135</v>
      </c>
      <c r="M38" s="37" t="str">
        <f t="shared" si="6"/>
        <v/>
      </c>
      <c r="N38" s="39" t="str">
        <f t="shared" si="7"/>
        <v/>
      </c>
      <c r="O38" s="37" t="s">
        <v>31</v>
      </c>
    </row>
    <row r="39" spans="1:15" ht="15" customHeight="1" x14ac:dyDescent="0.25">
      <c r="A39" s="40">
        <v>36</v>
      </c>
      <c r="B39" s="41" t="s">
        <v>39</v>
      </c>
      <c r="C39" s="40" t="s">
        <v>129</v>
      </c>
      <c r="D39" s="40" t="s">
        <v>195</v>
      </c>
      <c r="E39" s="40" t="s">
        <v>20</v>
      </c>
      <c r="F39" s="40" t="s">
        <v>224</v>
      </c>
      <c r="G39" s="40"/>
      <c r="H39" s="40" t="str">
        <f t="shared" si="4"/>
        <v/>
      </c>
      <c r="I39" s="40" t="str">
        <f t="shared" si="5"/>
        <v>In Progress</v>
      </c>
      <c r="J39" s="40" t="s">
        <v>225</v>
      </c>
      <c r="K39" s="40" t="s">
        <v>159</v>
      </c>
      <c r="L39" s="40" t="s">
        <v>144</v>
      </c>
      <c r="M39" s="40" t="str">
        <f t="shared" si="6"/>
        <v/>
      </c>
      <c r="N39" s="42" t="str">
        <f t="shared" si="7"/>
        <v/>
      </c>
      <c r="O39" s="40" t="s">
        <v>214</v>
      </c>
    </row>
    <row r="40" spans="1:15" ht="15" customHeight="1" x14ac:dyDescent="0.25">
      <c r="A40" s="37">
        <v>37</v>
      </c>
      <c r="B40" s="38" t="s">
        <v>40</v>
      </c>
      <c r="C40" s="37" t="s">
        <v>194</v>
      </c>
      <c r="D40" s="37" t="s">
        <v>198</v>
      </c>
      <c r="E40" s="37" t="s">
        <v>120</v>
      </c>
      <c r="F40" s="37" t="s">
        <v>226</v>
      </c>
      <c r="G40" s="37"/>
      <c r="H40" s="37" t="str">
        <f t="shared" si="4"/>
        <v/>
      </c>
      <c r="I40" s="37" t="str">
        <f t="shared" si="5"/>
        <v>Not Started</v>
      </c>
      <c r="J40" s="37" t="s">
        <v>176</v>
      </c>
      <c r="K40" s="37" t="s">
        <v>21</v>
      </c>
      <c r="L40" s="37" t="s">
        <v>144</v>
      </c>
      <c r="M40" s="37" t="str">
        <f t="shared" si="6"/>
        <v/>
      </c>
      <c r="N40" s="39" t="str">
        <f t="shared" si="7"/>
        <v/>
      </c>
      <c r="O40" s="37" t="s">
        <v>22</v>
      </c>
    </row>
    <row r="41" spans="1:15" ht="15" customHeight="1" x14ac:dyDescent="0.25">
      <c r="A41" s="40">
        <v>38</v>
      </c>
      <c r="B41" s="41" t="s">
        <v>42</v>
      </c>
      <c r="C41" s="40" t="s">
        <v>155</v>
      </c>
      <c r="D41" s="40" t="s">
        <v>47</v>
      </c>
      <c r="E41" s="40" t="s">
        <v>125</v>
      </c>
      <c r="F41" s="40" t="s">
        <v>227</v>
      </c>
      <c r="G41" s="40"/>
      <c r="H41" s="40" t="str">
        <f t="shared" si="4"/>
        <v/>
      </c>
      <c r="I41" s="40" t="str">
        <f t="shared" si="5"/>
        <v>In Progress</v>
      </c>
      <c r="J41" s="40" t="s">
        <v>150</v>
      </c>
      <c r="K41" s="40" t="s">
        <v>151</v>
      </c>
      <c r="L41" s="40" t="s">
        <v>117</v>
      </c>
      <c r="M41" s="40" t="str">
        <f t="shared" si="6"/>
        <v/>
      </c>
      <c r="N41" s="42" t="str">
        <f t="shared" si="7"/>
        <v/>
      </c>
      <c r="O41" s="40" t="s">
        <v>228</v>
      </c>
    </row>
    <row r="42" spans="1:15" ht="15" customHeight="1" x14ac:dyDescent="0.25">
      <c r="A42" s="37">
        <v>39</v>
      </c>
      <c r="B42" s="38" t="s">
        <v>44</v>
      </c>
      <c r="C42" s="37" t="s">
        <v>179</v>
      </c>
      <c r="D42" s="37" t="s">
        <v>229</v>
      </c>
      <c r="E42" s="37" t="s">
        <v>131</v>
      </c>
      <c r="F42" s="37" t="s">
        <v>230</v>
      </c>
      <c r="G42" s="37"/>
      <c r="H42" s="37" t="str">
        <f t="shared" si="4"/>
        <v/>
      </c>
      <c r="I42" s="37" t="str">
        <f t="shared" si="5"/>
        <v>In Progress</v>
      </c>
      <c r="J42" s="37" t="s">
        <v>231</v>
      </c>
      <c r="K42" s="37" t="s">
        <v>151</v>
      </c>
      <c r="L42" s="37" t="s">
        <v>144</v>
      </c>
      <c r="M42" s="37" t="str">
        <f t="shared" si="6"/>
        <v/>
      </c>
      <c r="N42" s="39" t="str">
        <f t="shared" si="7"/>
        <v/>
      </c>
      <c r="O42" s="37" t="s">
        <v>31</v>
      </c>
    </row>
    <row r="43" spans="1:15" ht="15" customHeight="1" x14ac:dyDescent="0.25">
      <c r="A43" s="40">
        <v>40</v>
      </c>
      <c r="B43" s="41" t="s">
        <v>46</v>
      </c>
      <c r="C43" s="40" t="s">
        <v>164</v>
      </c>
      <c r="D43" s="40" t="s">
        <v>45</v>
      </c>
      <c r="E43" s="40" t="s">
        <v>38</v>
      </c>
      <c r="F43" s="40" t="s">
        <v>232</v>
      </c>
      <c r="G43" s="40"/>
      <c r="H43" s="40" t="str">
        <f t="shared" si="4"/>
        <v/>
      </c>
      <c r="I43" s="40" t="str">
        <f t="shared" si="5"/>
        <v>In Progress</v>
      </c>
      <c r="J43" s="40" t="s">
        <v>127</v>
      </c>
      <c r="K43" s="40" t="s">
        <v>173</v>
      </c>
      <c r="L43" s="40" t="s">
        <v>124</v>
      </c>
      <c r="M43" s="40" t="str">
        <f t="shared" si="6"/>
        <v/>
      </c>
      <c r="N43" s="42" t="str">
        <f t="shared" si="7"/>
        <v/>
      </c>
      <c r="O43" s="40" t="s">
        <v>22</v>
      </c>
    </row>
    <row r="44" spans="1:15" ht="15" customHeight="1" x14ac:dyDescent="0.25">
      <c r="A44" s="37">
        <v>41</v>
      </c>
      <c r="B44" s="38" t="s">
        <v>17</v>
      </c>
      <c r="C44" s="37" t="s">
        <v>194</v>
      </c>
      <c r="D44" s="37" t="s">
        <v>233</v>
      </c>
      <c r="E44" s="37" t="s">
        <v>20</v>
      </c>
      <c r="F44" s="37" t="s">
        <v>234</v>
      </c>
      <c r="G44" s="37"/>
      <c r="H44" s="37" t="str">
        <f t="shared" si="4"/>
        <v/>
      </c>
      <c r="I44" s="37" t="str">
        <f t="shared" si="5"/>
        <v>In Progress</v>
      </c>
      <c r="J44" s="37" t="s">
        <v>235</v>
      </c>
      <c r="K44" s="37" t="s">
        <v>134</v>
      </c>
      <c r="L44" s="37" t="s">
        <v>135</v>
      </c>
      <c r="M44" s="37" t="str">
        <f t="shared" si="6"/>
        <v/>
      </c>
      <c r="N44" s="39" t="str">
        <f t="shared" si="7"/>
        <v/>
      </c>
      <c r="O44" s="37" t="s">
        <v>31</v>
      </c>
    </row>
    <row r="45" spans="1:15" ht="15" customHeight="1" x14ac:dyDescent="0.25">
      <c r="A45" s="40">
        <v>42</v>
      </c>
      <c r="B45" s="41" t="s">
        <v>23</v>
      </c>
      <c r="C45" s="40" t="s">
        <v>118</v>
      </c>
      <c r="D45" s="40" t="s">
        <v>53</v>
      </c>
      <c r="E45" s="40" t="s">
        <v>26</v>
      </c>
      <c r="F45" s="40" t="s">
        <v>236</v>
      </c>
      <c r="G45" s="40"/>
      <c r="H45" s="40" t="str">
        <f t="shared" si="4"/>
        <v/>
      </c>
      <c r="I45" s="40" t="str">
        <f t="shared" si="5"/>
        <v>In Progress</v>
      </c>
      <c r="J45" s="40" t="s">
        <v>162</v>
      </c>
      <c r="K45" s="40" t="s">
        <v>123</v>
      </c>
      <c r="L45" s="40" t="s">
        <v>138</v>
      </c>
      <c r="M45" s="40" t="str">
        <f t="shared" si="6"/>
        <v/>
      </c>
      <c r="N45" s="42" t="str">
        <f t="shared" si="7"/>
        <v/>
      </c>
      <c r="O45" s="40" t="s">
        <v>228</v>
      </c>
    </row>
    <row r="46" spans="1:15" ht="15" customHeight="1" x14ac:dyDescent="0.25">
      <c r="A46" s="37">
        <v>43</v>
      </c>
      <c r="B46" s="38" t="s">
        <v>28</v>
      </c>
      <c r="C46" s="37" t="s">
        <v>179</v>
      </c>
      <c r="D46" s="37" t="s">
        <v>237</v>
      </c>
      <c r="E46" s="37" t="s">
        <v>170</v>
      </c>
      <c r="F46" s="37" t="s">
        <v>238</v>
      </c>
      <c r="G46" s="37"/>
      <c r="H46" s="37" t="str">
        <f t="shared" si="4"/>
        <v/>
      </c>
      <c r="I46" s="37" t="str">
        <f t="shared" si="5"/>
        <v>In Progress</v>
      </c>
      <c r="J46" s="37" t="s">
        <v>239</v>
      </c>
      <c r="K46" s="37" t="s">
        <v>21</v>
      </c>
      <c r="L46" s="37" t="s">
        <v>117</v>
      </c>
      <c r="M46" s="37" t="str">
        <f t="shared" si="6"/>
        <v/>
      </c>
      <c r="N46" s="39" t="str">
        <f t="shared" si="7"/>
        <v/>
      </c>
      <c r="O46" s="37" t="s">
        <v>31</v>
      </c>
    </row>
    <row r="47" spans="1:15" ht="15" customHeight="1" x14ac:dyDescent="0.25">
      <c r="A47" s="40">
        <v>44</v>
      </c>
      <c r="B47" s="41" t="s">
        <v>32</v>
      </c>
      <c r="C47" s="40" t="s">
        <v>164</v>
      </c>
      <c r="D47" s="40" t="s">
        <v>240</v>
      </c>
      <c r="E47" s="40" t="s">
        <v>241</v>
      </c>
      <c r="F47" s="40" t="s">
        <v>242</v>
      </c>
      <c r="G47" s="40"/>
      <c r="H47" s="40" t="str">
        <f t="shared" si="4"/>
        <v/>
      </c>
      <c r="I47" s="40" t="str">
        <f t="shared" si="5"/>
        <v>Not Started</v>
      </c>
      <c r="J47" s="40" t="s">
        <v>133</v>
      </c>
      <c r="K47" s="40" t="s">
        <v>123</v>
      </c>
      <c r="L47" s="40" t="s">
        <v>147</v>
      </c>
      <c r="M47" s="40" t="str">
        <f t="shared" si="6"/>
        <v/>
      </c>
      <c r="N47" s="42" t="str">
        <f t="shared" si="7"/>
        <v/>
      </c>
      <c r="O47" s="40" t="s">
        <v>59</v>
      </c>
    </row>
    <row r="48" spans="1:15" ht="15" customHeight="1" x14ac:dyDescent="0.25">
      <c r="A48" s="37">
        <v>45</v>
      </c>
      <c r="B48" s="38" t="s">
        <v>36</v>
      </c>
      <c r="C48" s="37" t="s">
        <v>114</v>
      </c>
      <c r="D48" s="37" t="s">
        <v>185</v>
      </c>
      <c r="E48" s="37" t="s">
        <v>156</v>
      </c>
      <c r="F48" s="37" t="s">
        <v>243</v>
      </c>
      <c r="G48" s="37"/>
      <c r="H48" s="37" t="str">
        <f t="shared" si="4"/>
        <v/>
      </c>
      <c r="I48" s="37" t="str">
        <f t="shared" si="5"/>
        <v>Completed</v>
      </c>
      <c r="J48" s="37" t="s">
        <v>213</v>
      </c>
      <c r="K48" s="37" t="s">
        <v>43</v>
      </c>
      <c r="L48" s="37" t="s">
        <v>124</v>
      </c>
      <c r="M48" s="37" t="str">
        <f t="shared" si="6"/>
        <v/>
      </c>
      <c r="N48" s="39" t="str">
        <f t="shared" si="7"/>
        <v/>
      </c>
      <c r="O48" s="37" t="s">
        <v>153</v>
      </c>
    </row>
    <row r="49" spans="1:15" ht="15" customHeight="1" x14ac:dyDescent="0.25">
      <c r="A49" s="40">
        <v>46</v>
      </c>
      <c r="B49" s="41" t="s">
        <v>39</v>
      </c>
      <c r="C49" s="40" t="s">
        <v>24</v>
      </c>
      <c r="D49" s="40" t="s">
        <v>57</v>
      </c>
      <c r="E49" s="40" t="s">
        <v>20</v>
      </c>
      <c r="F49" s="40" t="s">
        <v>244</v>
      </c>
      <c r="G49" s="40"/>
      <c r="H49" s="40" t="str">
        <f t="shared" si="4"/>
        <v/>
      </c>
      <c r="I49" s="40" t="str">
        <f t="shared" si="5"/>
        <v>In Progress</v>
      </c>
      <c r="J49" s="40" t="s">
        <v>182</v>
      </c>
      <c r="K49" s="40" t="s">
        <v>123</v>
      </c>
      <c r="L49" s="40" t="s">
        <v>135</v>
      </c>
      <c r="M49" s="40" t="str">
        <f t="shared" si="6"/>
        <v/>
      </c>
      <c r="N49" s="42" t="str">
        <f t="shared" si="7"/>
        <v/>
      </c>
      <c r="O49" s="40" t="s">
        <v>228</v>
      </c>
    </row>
    <row r="50" spans="1:15" ht="15" customHeight="1" x14ac:dyDescent="0.25">
      <c r="A50" s="37">
        <v>47</v>
      </c>
      <c r="B50" s="38" t="s">
        <v>40</v>
      </c>
      <c r="C50" s="37" t="s">
        <v>179</v>
      </c>
      <c r="D50" s="37" t="s">
        <v>180</v>
      </c>
      <c r="E50" s="37" t="s">
        <v>165</v>
      </c>
      <c r="F50" s="37" t="s">
        <v>126</v>
      </c>
      <c r="G50" s="37"/>
      <c r="H50" s="37" t="str">
        <f t="shared" ref="H50:H81" si="8">IF(OR(F50="",G50=""),"",G50-F50)</f>
        <v/>
      </c>
      <c r="I50" s="37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37" t="s">
        <v>122</v>
      </c>
      <c r="K50" s="37" t="s">
        <v>159</v>
      </c>
      <c r="L50" s="37" t="s">
        <v>144</v>
      </c>
      <c r="M50" s="37" t="str">
        <f t="shared" ref="M50:M81" si="10">IF(H50="","",H50*8)</f>
        <v/>
      </c>
      <c r="N50" s="39" t="str">
        <f t="shared" ref="N50:N81" si="11">IF(OR(L50="",H50=""),"",L50*H50)</f>
        <v/>
      </c>
      <c r="O50" s="37" t="s">
        <v>22</v>
      </c>
    </row>
    <row r="51" spans="1:15" ht="15" customHeight="1" x14ac:dyDescent="0.25">
      <c r="A51" s="40">
        <v>48</v>
      </c>
      <c r="B51" s="41" t="s">
        <v>42</v>
      </c>
      <c r="C51" s="40" t="s">
        <v>164</v>
      </c>
      <c r="D51" s="40" t="s">
        <v>54</v>
      </c>
      <c r="E51" s="40" t="s">
        <v>30</v>
      </c>
      <c r="F51" s="40" t="s">
        <v>245</v>
      </c>
      <c r="G51" s="40"/>
      <c r="H51" s="40" t="str">
        <f t="shared" si="8"/>
        <v/>
      </c>
      <c r="I51" s="40" t="str">
        <f t="shared" si="9"/>
        <v>In Progress</v>
      </c>
      <c r="J51" s="40" t="s">
        <v>143</v>
      </c>
      <c r="K51" s="40" t="s">
        <v>159</v>
      </c>
      <c r="L51" s="40" t="s">
        <v>152</v>
      </c>
      <c r="M51" s="40" t="str">
        <f t="shared" si="10"/>
        <v/>
      </c>
      <c r="N51" s="42" t="str">
        <f t="shared" si="11"/>
        <v/>
      </c>
      <c r="O51" s="40" t="s">
        <v>163</v>
      </c>
    </row>
    <row r="52" spans="1:15" ht="15" customHeight="1" x14ac:dyDescent="0.25">
      <c r="A52" s="37">
        <v>49</v>
      </c>
      <c r="B52" s="38" t="s">
        <v>44</v>
      </c>
      <c r="C52" s="37" t="s">
        <v>114</v>
      </c>
      <c r="D52" s="37" t="s">
        <v>246</v>
      </c>
      <c r="E52" s="37" t="s">
        <v>131</v>
      </c>
      <c r="F52" s="37" t="s">
        <v>247</v>
      </c>
      <c r="G52" s="37"/>
      <c r="H52" s="37" t="str">
        <f t="shared" si="8"/>
        <v/>
      </c>
      <c r="I52" s="37" t="str">
        <f t="shared" si="9"/>
        <v>In Progress</v>
      </c>
      <c r="J52" s="37" t="s">
        <v>182</v>
      </c>
      <c r="K52" s="37" t="s">
        <v>173</v>
      </c>
      <c r="L52" s="37" t="s">
        <v>138</v>
      </c>
      <c r="M52" s="37" t="str">
        <f t="shared" si="10"/>
        <v/>
      </c>
      <c r="N52" s="39" t="str">
        <f t="shared" si="11"/>
        <v/>
      </c>
      <c r="O52" s="37" t="s">
        <v>22</v>
      </c>
    </row>
    <row r="53" spans="1:15" ht="15" customHeight="1" x14ac:dyDescent="0.25">
      <c r="A53" s="40">
        <v>50</v>
      </c>
      <c r="B53" s="41" t="s">
        <v>46</v>
      </c>
      <c r="C53" s="40" t="s">
        <v>139</v>
      </c>
      <c r="D53" s="40" t="s">
        <v>248</v>
      </c>
      <c r="E53" s="40" t="s">
        <v>38</v>
      </c>
      <c r="F53" s="40" t="s">
        <v>234</v>
      </c>
      <c r="G53" s="40"/>
      <c r="H53" s="40" t="str">
        <f t="shared" si="8"/>
        <v/>
      </c>
      <c r="I53" s="40" t="str">
        <f t="shared" si="9"/>
        <v>In Progress</v>
      </c>
      <c r="J53" s="40" t="s">
        <v>158</v>
      </c>
      <c r="K53" s="40" t="s">
        <v>128</v>
      </c>
      <c r="L53" s="40" t="s">
        <v>135</v>
      </c>
      <c r="M53" s="40" t="str">
        <f t="shared" si="10"/>
        <v/>
      </c>
      <c r="N53" s="42" t="str">
        <f t="shared" si="11"/>
        <v/>
      </c>
      <c r="O53" s="40" t="s">
        <v>228</v>
      </c>
    </row>
    <row r="54" spans="1:15" ht="15" customHeight="1" x14ac:dyDescent="0.25">
      <c r="A54" s="37">
        <v>51</v>
      </c>
      <c r="B54" s="38" t="s">
        <v>17</v>
      </c>
      <c r="C54" s="37" t="s">
        <v>190</v>
      </c>
      <c r="D54" s="37" t="s">
        <v>56</v>
      </c>
      <c r="E54" s="37" t="s">
        <v>196</v>
      </c>
      <c r="F54" s="37" t="s">
        <v>249</v>
      </c>
      <c r="G54" s="37"/>
      <c r="H54" s="37" t="str">
        <f t="shared" si="8"/>
        <v/>
      </c>
      <c r="I54" s="37" t="str">
        <f t="shared" si="9"/>
        <v>In Progress</v>
      </c>
      <c r="J54" s="37" t="s">
        <v>116</v>
      </c>
      <c r="K54" s="37" t="s">
        <v>27</v>
      </c>
      <c r="L54" s="37" t="s">
        <v>117</v>
      </c>
      <c r="M54" s="37" t="str">
        <f t="shared" si="10"/>
        <v/>
      </c>
      <c r="N54" s="39" t="str">
        <f t="shared" si="11"/>
        <v/>
      </c>
      <c r="O54" s="37" t="s">
        <v>59</v>
      </c>
    </row>
    <row r="55" spans="1:15" ht="15" customHeight="1" x14ac:dyDescent="0.25">
      <c r="A55" s="40">
        <v>52</v>
      </c>
      <c r="B55" s="41" t="s">
        <v>23</v>
      </c>
      <c r="C55" s="40" t="s">
        <v>129</v>
      </c>
      <c r="D55" s="40" t="s">
        <v>58</v>
      </c>
      <c r="E55" s="40" t="s">
        <v>165</v>
      </c>
      <c r="F55" s="40" t="s">
        <v>238</v>
      </c>
      <c r="G55" s="40"/>
      <c r="H55" s="40" t="str">
        <f t="shared" si="8"/>
        <v/>
      </c>
      <c r="I55" s="40" t="str">
        <f t="shared" si="9"/>
        <v>Not Started</v>
      </c>
      <c r="J55" s="40" t="s">
        <v>168</v>
      </c>
      <c r="K55" s="40" t="s">
        <v>173</v>
      </c>
      <c r="L55" s="40" t="s">
        <v>124</v>
      </c>
      <c r="M55" s="40" t="str">
        <f t="shared" si="10"/>
        <v/>
      </c>
      <c r="N55" s="42" t="str">
        <f t="shared" si="11"/>
        <v/>
      </c>
      <c r="O55" s="40" t="s">
        <v>31</v>
      </c>
    </row>
    <row r="56" spans="1:15" ht="15" customHeight="1" x14ac:dyDescent="0.25">
      <c r="A56" s="37">
        <v>53</v>
      </c>
      <c r="B56" s="38" t="s">
        <v>28</v>
      </c>
      <c r="C56" s="37" t="s">
        <v>114</v>
      </c>
      <c r="D56" s="37" t="s">
        <v>250</v>
      </c>
      <c r="E56" s="37" t="s">
        <v>30</v>
      </c>
      <c r="F56" s="37" t="s">
        <v>251</v>
      </c>
      <c r="G56" s="37"/>
      <c r="H56" s="37" t="str">
        <f t="shared" si="8"/>
        <v/>
      </c>
      <c r="I56" s="37" t="str">
        <f t="shared" si="9"/>
        <v>In Progress</v>
      </c>
      <c r="J56" s="37" t="s">
        <v>205</v>
      </c>
      <c r="K56" s="37" t="s">
        <v>151</v>
      </c>
      <c r="L56" s="37" t="s">
        <v>135</v>
      </c>
      <c r="M56" s="37" t="str">
        <f t="shared" si="10"/>
        <v/>
      </c>
      <c r="N56" s="39" t="str">
        <f t="shared" si="11"/>
        <v/>
      </c>
      <c r="O56" s="37" t="s">
        <v>31</v>
      </c>
    </row>
    <row r="57" spans="1:15" ht="15" customHeight="1" x14ac:dyDescent="0.25">
      <c r="A57" s="40">
        <v>54</v>
      </c>
      <c r="B57" s="41" t="s">
        <v>32</v>
      </c>
      <c r="C57" s="40" t="s">
        <v>24</v>
      </c>
      <c r="D57" s="40" t="s">
        <v>47</v>
      </c>
      <c r="E57" s="40" t="s">
        <v>241</v>
      </c>
      <c r="F57" s="40" t="s">
        <v>252</v>
      </c>
      <c r="G57" s="40"/>
      <c r="H57" s="40" t="str">
        <f t="shared" si="8"/>
        <v/>
      </c>
      <c r="I57" s="40" t="str">
        <f t="shared" si="9"/>
        <v>In Progress</v>
      </c>
      <c r="J57" s="40" t="s">
        <v>253</v>
      </c>
      <c r="K57" s="40" t="s">
        <v>134</v>
      </c>
      <c r="L57" s="40" t="s">
        <v>117</v>
      </c>
      <c r="M57" s="40" t="str">
        <f t="shared" si="10"/>
        <v/>
      </c>
      <c r="N57" s="42" t="str">
        <f t="shared" si="11"/>
        <v/>
      </c>
      <c r="O57" s="40" t="s">
        <v>35</v>
      </c>
    </row>
    <row r="58" spans="1:15" ht="15" customHeight="1" x14ac:dyDescent="0.25">
      <c r="A58" s="37">
        <v>55</v>
      </c>
      <c r="B58" s="38" t="s">
        <v>36</v>
      </c>
      <c r="C58" s="37" t="s">
        <v>209</v>
      </c>
      <c r="D58" s="37" t="s">
        <v>206</v>
      </c>
      <c r="E58" s="37" t="s">
        <v>156</v>
      </c>
      <c r="F58" s="37" t="s">
        <v>254</v>
      </c>
      <c r="G58" s="37"/>
      <c r="H58" s="37" t="str">
        <f t="shared" si="8"/>
        <v/>
      </c>
      <c r="I58" s="37" t="str">
        <f t="shared" si="9"/>
        <v>Completed</v>
      </c>
      <c r="J58" s="37" t="s">
        <v>213</v>
      </c>
      <c r="K58" s="37" t="s">
        <v>151</v>
      </c>
      <c r="L58" s="37" t="s">
        <v>135</v>
      </c>
      <c r="M58" s="37" t="str">
        <f t="shared" si="10"/>
        <v/>
      </c>
      <c r="N58" s="39" t="str">
        <f t="shared" si="11"/>
        <v/>
      </c>
      <c r="O58" s="37" t="s">
        <v>35</v>
      </c>
    </row>
    <row r="59" spans="1:15" ht="15" customHeight="1" x14ac:dyDescent="0.25">
      <c r="A59" s="40">
        <v>56</v>
      </c>
      <c r="B59" s="41" t="s">
        <v>39</v>
      </c>
      <c r="C59" s="40" t="s">
        <v>129</v>
      </c>
      <c r="D59" s="40" t="s">
        <v>229</v>
      </c>
      <c r="E59" s="40" t="s">
        <v>141</v>
      </c>
      <c r="F59" s="40" t="s">
        <v>234</v>
      </c>
      <c r="G59" s="40"/>
      <c r="H59" s="40" t="str">
        <f t="shared" si="8"/>
        <v/>
      </c>
      <c r="I59" s="40" t="str">
        <f t="shared" si="9"/>
        <v>Not Started</v>
      </c>
      <c r="J59" s="40" t="s">
        <v>176</v>
      </c>
      <c r="K59" s="40" t="s">
        <v>21</v>
      </c>
      <c r="L59" s="40" t="s">
        <v>124</v>
      </c>
      <c r="M59" s="40" t="str">
        <f t="shared" si="10"/>
        <v/>
      </c>
      <c r="N59" s="42" t="str">
        <f t="shared" si="11"/>
        <v/>
      </c>
      <c r="O59" s="40" t="s">
        <v>55</v>
      </c>
    </row>
    <row r="60" spans="1:15" ht="15" customHeight="1" x14ac:dyDescent="0.25">
      <c r="A60" s="37">
        <v>57</v>
      </c>
      <c r="B60" s="38" t="s">
        <v>40</v>
      </c>
      <c r="C60" s="37" t="s">
        <v>18</v>
      </c>
      <c r="D60" s="37" t="s">
        <v>255</v>
      </c>
      <c r="E60" s="37" t="s">
        <v>120</v>
      </c>
      <c r="F60" s="37" t="s">
        <v>256</v>
      </c>
      <c r="G60" s="37"/>
      <c r="H60" s="37" t="str">
        <f t="shared" si="8"/>
        <v/>
      </c>
      <c r="I60" s="37" t="str">
        <f t="shared" si="9"/>
        <v>In Progress</v>
      </c>
      <c r="J60" s="37" t="s">
        <v>143</v>
      </c>
      <c r="K60" s="37" t="s">
        <v>27</v>
      </c>
      <c r="L60" s="37" t="s">
        <v>124</v>
      </c>
      <c r="M60" s="37" t="str">
        <f t="shared" si="10"/>
        <v/>
      </c>
      <c r="N60" s="39" t="str">
        <f t="shared" si="11"/>
        <v/>
      </c>
      <c r="O60" s="37" t="s">
        <v>31</v>
      </c>
    </row>
    <row r="61" spans="1:15" ht="15" customHeight="1" x14ac:dyDescent="0.25">
      <c r="A61" s="40">
        <v>58</v>
      </c>
      <c r="B61" s="41" t="s">
        <v>42</v>
      </c>
      <c r="C61" s="40" t="s">
        <v>24</v>
      </c>
      <c r="D61" s="40" t="s">
        <v>53</v>
      </c>
      <c r="E61" s="40" t="s">
        <v>170</v>
      </c>
      <c r="F61" s="40" t="s">
        <v>257</v>
      </c>
      <c r="G61" s="40"/>
      <c r="H61" s="40" t="str">
        <f t="shared" si="8"/>
        <v/>
      </c>
      <c r="I61" s="40" t="str">
        <f t="shared" si="9"/>
        <v>Not Started</v>
      </c>
      <c r="J61" s="40" t="s">
        <v>133</v>
      </c>
      <c r="K61" s="40" t="s">
        <v>134</v>
      </c>
      <c r="L61" s="40" t="s">
        <v>124</v>
      </c>
      <c r="M61" s="40" t="str">
        <f t="shared" si="10"/>
        <v/>
      </c>
      <c r="N61" s="42" t="str">
        <f t="shared" si="11"/>
        <v/>
      </c>
      <c r="O61" s="40" t="s">
        <v>49</v>
      </c>
    </row>
    <row r="62" spans="1:15" ht="15" customHeight="1" x14ac:dyDescent="0.25">
      <c r="A62" s="37">
        <v>59</v>
      </c>
      <c r="B62" s="38" t="s">
        <v>44</v>
      </c>
      <c r="C62" s="37" t="s">
        <v>179</v>
      </c>
      <c r="D62" s="37" t="s">
        <v>60</v>
      </c>
      <c r="E62" s="37" t="s">
        <v>34</v>
      </c>
      <c r="F62" s="37" t="s">
        <v>244</v>
      </c>
      <c r="G62" s="37"/>
      <c r="H62" s="37" t="str">
        <f t="shared" si="8"/>
        <v/>
      </c>
      <c r="I62" s="37" t="str">
        <f t="shared" si="9"/>
        <v>In Progress</v>
      </c>
      <c r="J62" s="37" t="s">
        <v>253</v>
      </c>
      <c r="K62" s="37" t="s">
        <v>43</v>
      </c>
      <c r="L62" s="37" t="s">
        <v>135</v>
      </c>
      <c r="M62" s="37" t="str">
        <f t="shared" si="10"/>
        <v/>
      </c>
      <c r="N62" s="39" t="str">
        <f t="shared" si="11"/>
        <v/>
      </c>
      <c r="O62" s="37" t="s">
        <v>228</v>
      </c>
    </row>
    <row r="63" spans="1:15" ht="15" customHeight="1" x14ac:dyDescent="0.25">
      <c r="A63" s="40">
        <v>60</v>
      </c>
      <c r="B63" s="41" t="s">
        <v>46</v>
      </c>
      <c r="C63" s="40" t="s">
        <v>211</v>
      </c>
      <c r="D63" s="40" t="s">
        <v>258</v>
      </c>
      <c r="E63" s="40" t="s">
        <v>38</v>
      </c>
      <c r="F63" s="40" t="s">
        <v>223</v>
      </c>
      <c r="G63" s="40"/>
      <c r="H63" s="40" t="str">
        <f t="shared" si="8"/>
        <v/>
      </c>
      <c r="I63" s="40" t="str">
        <f t="shared" si="9"/>
        <v>Not Started</v>
      </c>
      <c r="J63" s="40" t="s">
        <v>208</v>
      </c>
      <c r="K63" s="40" t="s">
        <v>27</v>
      </c>
      <c r="L63" s="40" t="s">
        <v>152</v>
      </c>
      <c r="M63" s="40" t="str">
        <f t="shared" si="10"/>
        <v/>
      </c>
      <c r="N63" s="42" t="str">
        <f t="shared" si="11"/>
        <v/>
      </c>
      <c r="O63" s="40" t="s">
        <v>55</v>
      </c>
    </row>
    <row r="64" spans="1:15" ht="15" customHeight="1" x14ac:dyDescent="0.25">
      <c r="A64" s="37">
        <v>61</v>
      </c>
      <c r="B64" s="38" t="s">
        <v>17</v>
      </c>
      <c r="C64" s="37" t="s">
        <v>114</v>
      </c>
      <c r="D64" s="37" t="s">
        <v>54</v>
      </c>
      <c r="E64" s="37" t="s">
        <v>20</v>
      </c>
      <c r="F64" s="37" t="s">
        <v>259</v>
      </c>
      <c r="G64" s="37"/>
      <c r="H64" s="37" t="str">
        <f t="shared" si="8"/>
        <v/>
      </c>
      <c r="I64" s="37" t="str">
        <f t="shared" si="9"/>
        <v>In Progress</v>
      </c>
      <c r="J64" s="37" t="s">
        <v>116</v>
      </c>
      <c r="K64" s="37" t="s">
        <v>201</v>
      </c>
      <c r="L64" s="37" t="s">
        <v>135</v>
      </c>
      <c r="M64" s="37" t="str">
        <f t="shared" si="10"/>
        <v/>
      </c>
      <c r="N64" s="39" t="str">
        <f t="shared" si="11"/>
        <v/>
      </c>
      <c r="O64" s="37" t="s">
        <v>35</v>
      </c>
    </row>
    <row r="65" spans="1:15" ht="15" customHeight="1" x14ac:dyDescent="0.25">
      <c r="A65" s="40">
        <v>62</v>
      </c>
      <c r="B65" s="41" t="s">
        <v>23</v>
      </c>
      <c r="C65" s="40" t="s">
        <v>118</v>
      </c>
      <c r="D65" s="40" t="s">
        <v>260</v>
      </c>
      <c r="E65" s="40" t="s">
        <v>120</v>
      </c>
      <c r="F65" s="40" t="s">
        <v>261</v>
      </c>
      <c r="G65" s="40"/>
      <c r="H65" s="40" t="str">
        <f t="shared" si="8"/>
        <v/>
      </c>
      <c r="I65" s="40" t="str">
        <f t="shared" si="9"/>
        <v>In Progress</v>
      </c>
      <c r="J65" s="40" t="s">
        <v>158</v>
      </c>
      <c r="K65" s="40" t="s">
        <v>21</v>
      </c>
      <c r="L65" s="40" t="s">
        <v>117</v>
      </c>
      <c r="M65" s="40" t="str">
        <f t="shared" si="10"/>
        <v/>
      </c>
      <c r="N65" s="42" t="str">
        <f t="shared" si="11"/>
        <v/>
      </c>
      <c r="O65" s="40" t="s">
        <v>59</v>
      </c>
    </row>
    <row r="66" spans="1:15" ht="15" customHeight="1" x14ac:dyDescent="0.25">
      <c r="A66" s="37">
        <v>63</v>
      </c>
      <c r="B66" s="38" t="s">
        <v>28</v>
      </c>
      <c r="C66" s="37" t="s">
        <v>209</v>
      </c>
      <c r="D66" s="37" t="s">
        <v>57</v>
      </c>
      <c r="E66" s="37" t="s">
        <v>30</v>
      </c>
      <c r="F66" s="37" t="s">
        <v>262</v>
      </c>
      <c r="G66" s="37"/>
      <c r="H66" s="37" t="str">
        <f t="shared" si="8"/>
        <v/>
      </c>
      <c r="I66" s="37" t="str">
        <f t="shared" si="9"/>
        <v>In Progress</v>
      </c>
      <c r="J66" s="37" t="s">
        <v>231</v>
      </c>
      <c r="K66" s="37" t="s">
        <v>128</v>
      </c>
      <c r="L66" s="37" t="s">
        <v>138</v>
      </c>
      <c r="M66" s="37" t="str">
        <f t="shared" si="10"/>
        <v/>
      </c>
      <c r="N66" s="39" t="str">
        <f t="shared" si="11"/>
        <v/>
      </c>
      <c r="O66" s="37" t="s">
        <v>59</v>
      </c>
    </row>
    <row r="67" spans="1:15" ht="15" customHeight="1" x14ac:dyDescent="0.25">
      <c r="A67" s="40">
        <v>64</v>
      </c>
      <c r="B67" s="41" t="s">
        <v>32</v>
      </c>
      <c r="C67" s="40" t="s">
        <v>33</v>
      </c>
      <c r="D67" s="40" t="s">
        <v>57</v>
      </c>
      <c r="E67" s="40" t="s">
        <v>241</v>
      </c>
      <c r="F67" s="40" t="s">
        <v>263</v>
      </c>
      <c r="G67" s="40"/>
      <c r="H67" s="40" t="str">
        <f t="shared" si="8"/>
        <v/>
      </c>
      <c r="I67" s="40" t="str">
        <f t="shared" si="9"/>
        <v>In Progress</v>
      </c>
      <c r="J67" s="40" t="s">
        <v>264</v>
      </c>
      <c r="K67" s="40" t="s">
        <v>21</v>
      </c>
      <c r="L67" s="40" t="s">
        <v>135</v>
      </c>
      <c r="M67" s="40" t="str">
        <f t="shared" si="10"/>
        <v/>
      </c>
      <c r="N67" s="42" t="str">
        <f t="shared" si="11"/>
        <v/>
      </c>
      <c r="O67" s="40" t="s">
        <v>55</v>
      </c>
    </row>
    <row r="68" spans="1:15" ht="15" customHeight="1" x14ac:dyDescent="0.25">
      <c r="A68" s="37">
        <v>65</v>
      </c>
      <c r="B68" s="38" t="s">
        <v>36</v>
      </c>
      <c r="C68" s="37" t="s">
        <v>194</v>
      </c>
      <c r="D68" s="37" t="s">
        <v>220</v>
      </c>
      <c r="E68" s="37" t="s">
        <v>38</v>
      </c>
      <c r="F68" s="37" t="s">
        <v>265</v>
      </c>
      <c r="G68" s="37"/>
      <c r="H68" s="37" t="str">
        <f t="shared" si="8"/>
        <v/>
      </c>
      <c r="I68" s="37" t="str">
        <f t="shared" si="9"/>
        <v>In Progress</v>
      </c>
      <c r="J68" s="37" t="s">
        <v>162</v>
      </c>
      <c r="K68" s="37" t="s">
        <v>27</v>
      </c>
      <c r="L68" s="37" t="s">
        <v>147</v>
      </c>
      <c r="M68" s="37" t="str">
        <f t="shared" si="10"/>
        <v/>
      </c>
      <c r="N68" s="39" t="str">
        <f t="shared" si="11"/>
        <v/>
      </c>
      <c r="O68" s="37" t="s">
        <v>35</v>
      </c>
    </row>
    <row r="69" spans="1:15" ht="15" customHeight="1" x14ac:dyDescent="0.25">
      <c r="A69" s="40">
        <v>66</v>
      </c>
      <c r="B69" s="41" t="s">
        <v>39</v>
      </c>
      <c r="C69" s="40" t="s">
        <v>155</v>
      </c>
      <c r="D69" s="40" t="s">
        <v>266</v>
      </c>
      <c r="E69" s="40" t="s">
        <v>196</v>
      </c>
      <c r="F69" s="40" t="s">
        <v>267</v>
      </c>
      <c r="G69" s="40"/>
      <c r="H69" s="40" t="str">
        <f t="shared" si="8"/>
        <v/>
      </c>
      <c r="I69" s="40" t="str">
        <f t="shared" si="9"/>
        <v>In Progress</v>
      </c>
      <c r="J69" s="40" t="s">
        <v>235</v>
      </c>
      <c r="K69" s="40" t="s">
        <v>51</v>
      </c>
      <c r="L69" s="40" t="s">
        <v>117</v>
      </c>
      <c r="M69" s="40" t="str">
        <f t="shared" si="10"/>
        <v/>
      </c>
      <c r="N69" s="42" t="str">
        <f t="shared" si="11"/>
        <v/>
      </c>
      <c r="O69" s="40" t="s">
        <v>214</v>
      </c>
    </row>
    <row r="70" spans="1:15" ht="15" customHeight="1" x14ac:dyDescent="0.25">
      <c r="A70" s="37">
        <v>67</v>
      </c>
      <c r="B70" s="38" t="s">
        <v>40</v>
      </c>
      <c r="C70" s="37" t="s">
        <v>190</v>
      </c>
      <c r="D70" s="37" t="s">
        <v>41</v>
      </c>
      <c r="E70" s="37" t="s">
        <v>26</v>
      </c>
      <c r="F70" s="37" t="s">
        <v>268</v>
      </c>
      <c r="G70" s="37"/>
      <c r="H70" s="37" t="str">
        <f t="shared" si="8"/>
        <v/>
      </c>
      <c r="I70" s="37" t="str">
        <f t="shared" si="9"/>
        <v>In Progress</v>
      </c>
      <c r="J70" s="37" t="s">
        <v>231</v>
      </c>
      <c r="K70" s="37" t="s">
        <v>151</v>
      </c>
      <c r="L70" s="37" t="s">
        <v>117</v>
      </c>
      <c r="M70" s="37" t="str">
        <f t="shared" si="10"/>
        <v/>
      </c>
      <c r="N70" s="39" t="str">
        <f t="shared" si="11"/>
        <v/>
      </c>
      <c r="O70" s="37" t="s">
        <v>59</v>
      </c>
    </row>
    <row r="71" spans="1:15" ht="15" customHeight="1" x14ac:dyDescent="0.25">
      <c r="A71" s="40">
        <v>68</v>
      </c>
      <c r="B71" s="41" t="s">
        <v>42</v>
      </c>
      <c r="C71" s="40" t="s">
        <v>129</v>
      </c>
      <c r="D71" s="40" t="s">
        <v>191</v>
      </c>
      <c r="E71" s="40" t="s">
        <v>170</v>
      </c>
      <c r="F71" s="40" t="s">
        <v>269</v>
      </c>
      <c r="G71" s="40"/>
      <c r="H71" s="40" t="str">
        <f t="shared" si="8"/>
        <v/>
      </c>
      <c r="I71" s="40" t="str">
        <f t="shared" si="9"/>
        <v>In Progress</v>
      </c>
      <c r="J71" s="40" t="s">
        <v>270</v>
      </c>
      <c r="K71" s="40" t="s">
        <v>27</v>
      </c>
      <c r="L71" s="40" t="s">
        <v>144</v>
      </c>
      <c r="M71" s="40" t="str">
        <f t="shared" si="10"/>
        <v/>
      </c>
      <c r="N71" s="42" t="str">
        <f t="shared" si="11"/>
        <v/>
      </c>
      <c r="O71" s="40" t="s">
        <v>59</v>
      </c>
    </row>
    <row r="72" spans="1:15" ht="15" customHeight="1" x14ac:dyDescent="0.25">
      <c r="A72" s="37">
        <v>69</v>
      </c>
      <c r="B72" s="38" t="s">
        <v>44</v>
      </c>
      <c r="C72" s="37" t="s">
        <v>18</v>
      </c>
      <c r="D72" s="37" t="s">
        <v>212</v>
      </c>
      <c r="E72" s="37" t="s">
        <v>34</v>
      </c>
      <c r="F72" s="37" t="s">
        <v>271</v>
      </c>
      <c r="G72" s="37"/>
      <c r="H72" s="37" t="str">
        <f t="shared" si="8"/>
        <v/>
      </c>
      <c r="I72" s="37" t="str">
        <f t="shared" si="9"/>
        <v>In Progress</v>
      </c>
      <c r="J72" s="37" t="s">
        <v>116</v>
      </c>
      <c r="K72" s="37" t="s">
        <v>173</v>
      </c>
      <c r="L72" s="37" t="s">
        <v>147</v>
      </c>
      <c r="M72" s="37" t="str">
        <f t="shared" si="10"/>
        <v/>
      </c>
      <c r="N72" s="39" t="str">
        <f t="shared" si="11"/>
        <v/>
      </c>
      <c r="O72" s="37" t="s">
        <v>59</v>
      </c>
    </row>
    <row r="73" spans="1:15" ht="15" customHeight="1" x14ac:dyDescent="0.25">
      <c r="A73" s="40">
        <v>70</v>
      </c>
      <c r="B73" s="41" t="s">
        <v>46</v>
      </c>
      <c r="C73" s="40" t="s">
        <v>155</v>
      </c>
      <c r="D73" s="40" t="s">
        <v>237</v>
      </c>
      <c r="E73" s="40" t="s">
        <v>38</v>
      </c>
      <c r="F73" s="40" t="s">
        <v>272</v>
      </c>
      <c r="G73" s="40"/>
      <c r="H73" s="40" t="str">
        <f t="shared" si="8"/>
        <v/>
      </c>
      <c r="I73" s="40" t="str">
        <f t="shared" si="9"/>
        <v>In Progress</v>
      </c>
      <c r="J73" s="40" t="s">
        <v>127</v>
      </c>
      <c r="K73" s="40" t="s">
        <v>43</v>
      </c>
      <c r="L73" s="40" t="s">
        <v>144</v>
      </c>
      <c r="M73" s="40" t="str">
        <f t="shared" si="10"/>
        <v/>
      </c>
      <c r="N73" s="42" t="str">
        <f t="shared" si="11"/>
        <v/>
      </c>
      <c r="O73" s="40" t="s">
        <v>153</v>
      </c>
    </row>
    <row r="74" spans="1:15" ht="15" customHeight="1" x14ac:dyDescent="0.25">
      <c r="A74" s="37">
        <v>71</v>
      </c>
      <c r="B74" s="38" t="s">
        <v>17</v>
      </c>
      <c r="C74" s="37" t="s">
        <v>209</v>
      </c>
      <c r="D74" s="37" t="s">
        <v>212</v>
      </c>
      <c r="E74" s="37" t="s">
        <v>20</v>
      </c>
      <c r="F74" s="37" t="s">
        <v>204</v>
      </c>
      <c r="G74" s="37"/>
      <c r="H74" s="37" t="str">
        <f t="shared" si="8"/>
        <v/>
      </c>
      <c r="I74" s="37" t="str">
        <f t="shared" si="9"/>
        <v>In Progress</v>
      </c>
      <c r="J74" s="37" t="s">
        <v>182</v>
      </c>
      <c r="K74" s="37" t="s">
        <v>43</v>
      </c>
      <c r="L74" s="37" t="s">
        <v>135</v>
      </c>
      <c r="M74" s="37" t="str">
        <f t="shared" si="10"/>
        <v/>
      </c>
      <c r="N74" s="39" t="str">
        <f t="shared" si="11"/>
        <v/>
      </c>
      <c r="O74" s="37" t="s">
        <v>31</v>
      </c>
    </row>
    <row r="75" spans="1:15" ht="15" customHeight="1" x14ac:dyDescent="0.25">
      <c r="A75" s="40">
        <v>72</v>
      </c>
      <c r="B75" s="41" t="s">
        <v>23</v>
      </c>
      <c r="C75" s="40" t="s">
        <v>129</v>
      </c>
      <c r="D75" s="40" t="s">
        <v>203</v>
      </c>
      <c r="E75" s="40" t="s">
        <v>26</v>
      </c>
      <c r="F75" s="40" t="s">
        <v>273</v>
      </c>
      <c r="G75" s="40"/>
      <c r="H75" s="40" t="str">
        <f t="shared" si="8"/>
        <v/>
      </c>
      <c r="I75" s="40" t="str">
        <f t="shared" si="9"/>
        <v>In Progress</v>
      </c>
      <c r="J75" s="40" t="s">
        <v>264</v>
      </c>
      <c r="K75" s="40" t="s">
        <v>187</v>
      </c>
      <c r="L75" s="40" t="s">
        <v>135</v>
      </c>
      <c r="M75" s="40" t="str">
        <f t="shared" si="10"/>
        <v/>
      </c>
      <c r="N75" s="42" t="str">
        <f t="shared" si="11"/>
        <v/>
      </c>
      <c r="O75" s="40" t="s">
        <v>163</v>
      </c>
    </row>
    <row r="76" spans="1:15" ht="15" customHeight="1" x14ac:dyDescent="0.25">
      <c r="A76" s="37">
        <v>73</v>
      </c>
      <c r="B76" s="38" t="s">
        <v>28</v>
      </c>
      <c r="C76" s="37" t="s">
        <v>114</v>
      </c>
      <c r="D76" s="37" t="s">
        <v>53</v>
      </c>
      <c r="E76" s="37" t="s">
        <v>125</v>
      </c>
      <c r="F76" s="37" t="s">
        <v>274</v>
      </c>
      <c r="G76" s="37"/>
      <c r="H76" s="37" t="str">
        <f t="shared" si="8"/>
        <v/>
      </c>
      <c r="I76" s="37" t="str">
        <f t="shared" si="9"/>
        <v>Not Started</v>
      </c>
      <c r="J76" s="37" t="s">
        <v>208</v>
      </c>
      <c r="K76" s="37" t="s">
        <v>159</v>
      </c>
      <c r="L76" s="37" t="s">
        <v>124</v>
      </c>
      <c r="M76" s="37" t="str">
        <f t="shared" si="10"/>
        <v/>
      </c>
      <c r="N76" s="39" t="str">
        <f t="shared" si="11"/>
        <v/>
      </c>
      <c r="O76" s="37" t="s">
        <v>49</v>
      </c>
    </row>
    <row r="77" spans="1:15" ht="15" customHeight="1" x14ac:dyDescent="0.25">
      <c r="A77" s="40">
        <v>74</v>
      </c>
      <c r="B77" s="41" t="s">
        <v>32</v>
      </c>
      <c r="C77" s="40" t="s">
        <v>155</v>
      </c>
      <c r="D77" s="40" t="s">
        <v>53</v>
      </c>
      <c r="E77" s="40" t="s">
        <v>34</v>
      </c>
      <c r="F77" s="40" t="s">
        <v>275</v>
      </c>
      <c r="G77" s="40"/>
      <c r="H77" s="40" t="str">
        <f t="shared" si="8"/>
        <v/>
      </c>
      <c r="I77" s="40" t="str">
        <f t="shared" si="9"/>
        <v>Completed</v>
      </c>
      <c r="J77" s="40" t="s">
        <v>213</v>
      </c>
      <c r="K77" s="40" t="s">
        <v>159</v>
      </c>
      <c r="L77" s="40" t="s">
        <v>152</v>
      </c>
      <c r="M77" s="40" t="str">
        <f t="shared" si="10"/>
        <v/>
      </c>
      <c r="N77" s="42" t="str">
        <f t="shared" si="11"/>
        <v/>
      </c>
      <c r="O77" s="40" t="s">
        <v>55</v>
      </c>
    </row>
    <row r="78" spans="1:15" ht="15" customHeight="1" x14ac:dyDescent="0.25">
      <c r="A78" s="37">
        <v>75</v>
      </c>
      <c r="B78" s="38" t="s">
        <v>36</v>
      </c>
      <c r="C78" s="37" t="s">
        <v>209</v>
      </c>
      <c r="D78" s="37" t="s">
        <v>54</v>
      </c>
      <c r="E78" s="37" t="s">
        <v>38</v>
      </c>
      <c r="F78" s="37" t="s">
        <v>276</v>
      </c>
      <c r="G78" s="37"/>
      <c r="H78" s="37" t="str">
        <f t="shared" si="8"/>
        <v/>
      </c>
      <c r="I78" s="37" t="str">
        <f t="shared" si="9"/>
        <v>In Progress</v>
      </c>
      <c r="J78" s="37" t="s">
        <v>200</v>
      </c>
      <c r="K78" s="37" t="s">
        <v>27</v>
      </c>
      <c r="L78" s="37" t="s">
        <v>138</v>
      </c>
      <c r="M78" s="37" t="str">
        <f t="shared" si="10"/>
        <v/>
      </c>
      <c r="N78" s="39" t="str">
        <f t="shared" si="11"/>
        <v/>
      </c>
      <c r="O78" s="37" t="s">
        <v>214</v>
      </c>
    </row>
    <row r="79" spans="1:15" ht="15" customHeight="1" x14ac:dyDescent="0.25">
      <c r="A79" s="40">
        <v>76</v>
      </c>
      <c r="B79" s="41" t="s">
        <v>39</v>
      </c>
      <c r="C79" s="40" t="s">
        <v>129</v>
      </c>
      <c r="D79" s="40" t="s">
        <v>277</v>
      </c>
      <c r="E79" s="40" t="s">
        <v>141</v>
      </c>
      <c r="F79" s="40" t="s">
        <v>278</v>
      </c>
      <c r="G79" s="40"/>
      <c r="H79" s="40" t="str">
        <f t="shared" si="8"/>
        <v/>
      </c>
      <c r="I79" s="40" t="str">
        <f t="shared" si="9"/>
        <v>In Progress</v>
      </c>
      <c r="J79" s="40" t="s">
        <v>217</v>
      </c>
      <c r="K79" s="40" t="s">
        <v>21</v>
      </c>
      <c r="L79" s="40" t="s">
        <v>144</v>
      </c>
      <c r="M79" s="40" t="str">
        <f t="shared" si="10"/>
        <v/>
      </c>
      <c r="N79" s="42" t="str">
        <f t="shared" si="11"/>
        <v/>
      </c>
      <c r="O79" s="40" t="s">
        <v>228</v>
      </c>
    </row>
    <row r="80" spans="1:15" ht="15" customHeight="1" x14ac:dyDescent="0.25">
      <c r="A80" s="37">
        <v>77</v>
      </c>
      <c r="B80" s="38" t="s">
        <v>40</v>
      </c>
      <c r="C80" s="37" t="s">
        <v>18</v>
      </c>
      <c r="D80" s="37" t="s">
        <v>180</v>
      </c>
      <c r="E80" s="37" t="s">
        <v>165</v>
      </c>
      <c r="F80" s="37" t="s">
        <v>279</v>
      </c>
      <c r="G80" s="37"/>
      <c r="H80" s="37" t="str">
        <f t="shared" si="8"/>
        <v/>
      </c>
      <c r="I80" s="37" t="str">
        <f t="shared" si="9"/>
        <v>In Progress</v>
      </c>
      <c r="J80" s="37" t="s">
        <v>127</v>
      </c>
      <c r="K80" s="37" t="s">
        <v>173</v>
      </c>
      <c r="L80" s="37" t="s">
        <v>138</v>
      </c>
      <c r="M80" s="37" t="str">
        <f t="shared" si="10"/>
        <v/>
      </c>
      <c r="N80" s="39" t="str">
        <f t="shared" si="11"/>
        <v/>
      </c>
      <c r="O80" s="37" t="s">
        <v>22</v>
      </c>
    </row>
    <row r="81" spans="1:15" ht="15" customHeight="1" x14ac:dyDescent="0.25">
      <c r="A81" s="40">
        <v>78</v>
      </c>
      <c r="B81" s="41" t="s">
        <v>42</v>
      </c>
      <c r="C81" s="40" t="s">
        <v>139</v>
      </c>
      <c r="D81" s="40" t="s">
        <v>185</v>
      </c>
      <c r="E81" s="40" t="s">
        <v>170</v>
      </c>
      <c r="F81" s="40" t="s">
        <v>280</v>
      </c>
      <c r="G81" s="40"/>
      <c r="H81" s="40" t="str">
        <f t="shared" si="8"/>
        <v/>
      </c>
      <c r="I81" s="40" t="str">
        <f t="shared" si="9"/>
        <v>Completed</v>
      </c>
      <c r="J81" s="40" t="s">
        <v>122</v>
      </c>
      <c r="K81" s="40" t="s">
        <v>159</v>
      </c>
      <c r="L81" s="40" t="s">
        <v>117</v>
      </c>
      <c r="M81" s="40" t="str">
        <f t="shared" si="10"/>
        <v/>
      </c>
      <c r="N81" s="42" t="str">
        <f t="shared" si="11"/>
        <v/>
      </c>
      <c r="O81" s="40" t="s">
        <v>22</v>
      </c>
    </row>
    <row r="82" spans="1:15" ht="15" customHeight="1" x14ac:dyDescent="0.25">
      <c r="A82" s="37">
        <v>79</v>
      </c>
      <c r="B82" s="38" t="s">
        <v>44</v>
      </c>
      <c r="C82" s="37" t="s">
        <v>190</v>
      </c>
      <c r="D82" s="37" t="s">
        <v>281</v>
      </c>
      <c r="E82" s="37" t="s">
        <v>131</v>
      </c>
      <c r="F82" s="37" t="s">
        <v>282</v>
      </c>
      <c r="G82" s="37"/>
      <c r="H82" s="37" t="str">
        <f t="shared" ref="H82:H113" si="12">IF(OR(F82="",G82=""),"",G82-F82)</f>
        <v/>
      </c>
      <c r="I82" s="37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37" t="s">
        <v>270</v>
      </c>
      <c r="K82" s="37" t="s">
        <v>27</v>
      </c>
      <c r="L82" s="37" t="s">
        <v>138</v>
      </c>
      <c r="M82" s="37" t="str">
        <f t="shared" ref="M82:M113" si="14">IF(H82="","",H82*8)</f>
        <v/>
      </c>
      <c r="N82" s="39" t="str">
        <f t="shared" ref="N82:N113" si="15">IF(OR(L82="",H82=""),"",L82*H82)</f>
        <v/>
      </c>
      <c r="O82" s="37" t="s">
        <v>31</v>
      </c>
    </row>
    <row r="83" spans="1:15" ht="15" customHeight="1" x14ac:dyDescent="0.25">
      <c r="A83" s="40">
        <v>80</v>
      </c>
      <c r="B83" s="41" t="s">
        <v>46</v>
      </c>
      <c r="C83" s="40" t="s">
        <v>33</v>
      </c>
      <c r="D83" s="40" t="s">
        <v>283</v>
      </c>
      <c r="E83" s="40" t="s">
        <v>38</v>
      </c>
      <c r="F83" s="40" t="s">
        <v>284</v>
      </c>
      <c r="G83" s="40"/>
      <c r="H83" s="40" t="str">
        <f t="shared" si="12"/>
        <v/>
      </c>
      <c r="I83" s="40" t="str">
        <f t="shared" si="13"/>
        <v>Not Started</v>
      </c>
      <c r="J83" s="40" t="s">
        <v>133</v>
      </c>
      <c r="K83" s="40" t="s">
        <v>21</v>
      </c>
      <c r="L83" s="40" t="s">
        <v>117</v>
      </c>
      <c r="M83" s="40" t="str">
        <f t="shared" si="14"/>
        <v/>
      </c>
      <c r="N83" s="42" t="str">
        <f t="shared" si="15"/>
        <v/>
      </c>
      <c r="O83" s="40" t="s">
        <v>49</v>
      </c>
    </row>
    <row r="84" spans="1:15" ht="15" customHeight="1" x14ac:dyDescent="0.25">
      <c r="A84" s="37">
        <v>81</v>
      </c>
      <c r="B84" s="38" t="s">
        <v>17</v>
      </c>
      <c r="C84" s="37" t="s">
        <v>114</v>
      </c>
      <c r="D84" s="37" t="s">
        <v>37</v>
      </c>
      <c r="E84" s="37" t="s">
        <v>141</v>
      </c>
      <c r="F84" s="37" t="s">
        <v>285</v>
      </c>
      <c r="G84" s="37"/>
      <c r="H84" s="37" t="str">
        <f t="shared" si="12"/>
        <v/>
      </c>
      <c r="I84" s="37" t="str">
        <f t="shared" si="13"/>
        <v>In Progress</v>
      </c>
      <c r="J84" s="37" t="s">
        <v>189</v>
      </c>
      <c r="K84" s="37" t="s">
        <v>27</v>
      </c>
      <c r="L84" s="37" t="s">
        <v>117</v>
      </c>
      <c r="M84" s="37" t="str">
        <f t="shared" si="14"/>
        <v/>
      </c>
      <c r="N84" s="39" t="str">
        <f t="shared" si="15"/>
        <v/>
      </c>
      <c r="O84" s="37" t="s">
        <v>31</v>
      </c>
    </row>
    <row r="85" spans="1:15" ht="15" customHeight="1" x14ac:dyDescent="0.25">
      <c r="A85" s="40">
        <v>82</v>
      </c>
      <c r="B85" s="41" t="s">
        <v>23</v>
      </c>
      <c r="C85" s="40" t="s">
        <v>155</v>
      </c>
      <c r="D85" s="40" t="s">
        <v>45</v>
      </c>
      <c r="E85" s="40" t="s">
        <v>165</v>
      </c>
      <c r="F85" s="40" t="s">
        <v>286</v>
      </c>
      <c r="G85" s="40"/>
      <c r="H85" s="40" t="str">
        <f t="shared" si="12"/>
        <v/>
      </c>
      <c r="I85" s="40" t="str">
        <f t="shared" si="13"/>
        <v>In Progress</v>
      </c>
      <c r="J85" s="40" t="s">
        <v>239</v>
      </c>
      <c r="K85" s="40" t="s">
        <v>159</v>
      </c>
      <c r="L85" s="40" t="s">
        <v>147</v>
      </c>
      <c r="M85" s="40" t="str">
        <f t="shared" si="14"/>
        <v/>
      </c>
      <c r="N85" s="42" t="str">
        <f t="shared" si="15"/>
        <v/>
      </c>
      <c r="O85" s="40" t="s">
        <v>31</v>
      </c>
    </row>
    <row r="86" spans="1:15" ht="15" customHeight="1" x14ac:dyDescent="0.25">
      <c r="A86" s="37">
        <v>83</v>
      </c>
      <c r="B86" s="38" t="s">
        <v>28</v>
      </c>
      <c r="C86" s="37" t="s">
        <v>209</v>
      </c>
      <c r="D86" s="37" t="s">
        <v>283</v>
      </c>
      <c r="E86" s="37" t="s">
        <v>30</v>
      </c>
      <c r="F86" s="37" t="s">
        <v>287</v>
      </c>
      <c r="G86" s="37"/>
      <c r="H86" s="37" t="str">
        <f t="shared" si="12"/>
        <v/>
      </c>
      <c r="I86" s="37" t="str">
        <f t="shared" si="13"/>
        <v>In Progress</v>
      </c>
      <c r="J86" s="37" t="s">
        <v>253</v>
      </c>
      <c r="K86" s="37" t="s">
        <v>43</v>
      </c>
      <c r="L86" s="37" t="s">
        <v>152</v>
      </c>
      <c r="M86" s="37" t="str">
        <f t="shared" si="14"/>
        <v/>
      </c>
      <c r="N86" s="39" t="str">
        <f t="shared" si="15"/>
        <v/>
      </c>
      <c r="O86" s="37" t="s">
        <v>22</v>
      </c>
    </row>
    <row r="87" spans="1:15" ht="15" customHeight="1" x14ac:dyDescent="0.25">
      <c r="A87" s="40">
        <v>84</v>
      </c>
      <c r="B87" s="41" t="s">
        <v>32</v>
      </c>
      <c r="C87" s="40" t="s">
        <v>164</v>
      </c>
      <c r="D87" s="40" t="s">
        <v>45</v>
      </c>
      <c r="E87" s="40" t="s">
        <v>131</v>
      </c>
      <c r="F87" s="40" t="s">
        <v>288</v>
      </c>
      <c r="G87" s="40"/>
      <c r="H87" s="40" t="str">
        <f t="shared" si="12"/>
        <v/>
      </c>
      <c r="I87" s="40" t="str">
        <f t="shared" si="13"/>
        <v>In Progress</v>
      </c>
      <c r="J87" s="40" t="s">
        <v>225</v>
      </c>
      <c r="K87" s="40" t="s">
        <v>151</v>
      </c>
      <c r="L87" s="40" t="s">
        <v>124</v>
      </c>
      <c r="M87" s="40" t="str">
        <f t="shared" si="14"/>
        <v/>
      </c>
      <c r="N87" s="42" t="str">
        <f t="shared" si="15"/>
        <v/>
      </c>
      <c r="O87" s="40" t="s">
        <v>22</v>
      </c>
    </row>
    <row r="88" spans="1:15" ht="15" customHeight="1" x14ac:dyDescent="0.25">
      <c r="A88" s="37">
        <v>85</v>
      </c>
      <c r="B88" s="38" t="s">
        <v>36</v>
      </c>
      <c r="C88" s="37" t="s">
        <v>18</v>
      </c>
      <c r="D88" s="37" t="s">
        <v>229</v>
      </c>
      <c r="E88" s="37" t="s">
        <v>156</v>
      </c>
      <c r="F88" s="37" t="s">
        <v>289</v>
      </c>
      <c r="G88" s="37"/>
      <c r="H88" s="37" t="str">
        <f t="shared" si="12"/>
        <v/>
      </c>
      <c r="I88" s="37" t="str">
        <f t="shared" si="13"/>
        <v>In Progress</v>
      </c>
      <c r="J88" s="37" t="s">
        <v>231</v>
      </c>
      <c r="K88" s="37" t="s">
        <v>21</v>
      </c>
      <c r="L88" s="37" t="s">
        <v>124</v>
      </c>
      <c r="M88" s="37" t="str">
        <f t="shared" si="14"/>
        <v/>
      </c>
      <c r="N88" s="39" t="str">
        <f t="shared" si="15"/>
        <v/>
      </c>
      <c r="O88" s="37" t="s">
        <v>163</v>
      </c>
    </row>
    <row r="89" spans="1:15" ht="15" customHeight="1" x14ac:dyDescent="0.25">
      <c r="A89" s="40">
        <v>86</v>
      </c>
      <c r="B89" s="41" t="s">
        <v>39</v>
      </c>
      <c r="C89" s="40" t="s">
        <v>139</v>
      </c>
      <c r="D89" s="40" t="s">
        <v>255</v>
      </c>
      <c r="E89" s="40" t="s">
        <v>196</v>
      </c>
      <c r="F89" s="40" t="s">
        <v>273</v>
      </c>
      <c r="G89" s="40"/>
      <c r="H89" s="40" t="str">
        <f t="shared" si="12"/>
        <v/>
      </c>
      <c r="I89" s="40" t="str">
        <f t="shared" si="13"/>
        <v>In Progress</v>
      </c>
      <c r="J89" s="40" t="s">
        <v>217</v>
      </c>
      <c r="K89" s="40" t="s">
        <v>151</v>
      </c>
      <c r="L89" s="40" t="s">
        <v>117</v>
      </c>
      <c r="M89" s="40" t="str">
        <f t="shared" si="14"/>
        <v/>
      </c>
      <c r="N89" s="42" t="str">
        <f t="shared" si="15"/>
        <v/>
      </c>
      <c r="O89" s="40" t="s">
        <v>214</v>
      </c>
    </row>
    <row r="90" spans="1:15" ht="15" customHeight="1" x14ac:dyDescent="0.25">
      <c r="A90" s="37">
        <v>87</v>
      </c>
      <c r="B90" s="38" t="s">
        <v>40</v>
      </c>
      <c r="C90" s="37" t="s">
        <v>190</v>
      </c>
      <c r="D90" s="37" t="s">
        <v>48</v>
      </c>
      <c r="E90" s="37" t="s">
        <v>120</v>
      </c>
      <c r="F90" s="37" t="s">
        <v>157</v>
      </c>
      <c r="G90" s="37"/>
      <c r="H90" s="37" t="str">
        <f t="shared" si="12"/>
        <v/>
      </c>
      <c r="I90" s="37" t="str">
        <f t="shared" si="13"/>
        <v>In Progress</v>
      </c>
      <c r="J90" s="37" t="s">
        <v>264</v>
      </c>
      <c r="K90" s="37" t="s">
        <v>51</v>
      </c>
      <c r="L90" s="37" t="s">
        <v>138</v>
      </c>
      <c r="M90" s="37" t="str">
        <f t="shared" si="14"/>
        <v/>
      </c>
      <c r="N90" s="39" t="str">
        <f t="shared" si="15"/>
        <v/>
      </c>
      <c r="O90" s="37" t="s">
        <v>214</v>
      </c>
    </row>
    <row r="91" spans="1:15" ht="15" customHeight="1" x14ac:dyDescent="0.25">
      <c r="A91" s="40">
        <v>88</v>
      </c>
      <c r="B91" s="41" t="s">
        <v>42</v>
      </c>
      <c r="C91" s="40" t="s">
        <v>129</v>
      </c>
      <c r="D91" s="40" t="s">
        <v>50</v>
      </c>
      <c r="E91" s="40" t="s">
        <v>30</v>
      </c>
      <c r="F91" s="40" t="s">
        <v>261</v>
      </c>
      <c r="G91" s="40"/>
      <c r="H91" s="40" t="str">
        <f t="shared" si="12"/>
        <v/>
      </c>
      <c r="I91" s="40" t="str">
        <f t="shared" si="13"/>
        <v>In Progress</v>
      </c>
      <c r="J91" s="40" t="s">
        <v>290</v>
      </c>
      <c r="K91" s="40" t="s">
        <v>27</v>
      </c>
      <c r="L91" s="40" t="s">
        <v>138</v>
      </c>
      <c r="M91" s="40" t="str">
        <f t="shared" si="14"/>
        <v/>
      </c>
      <c r="N91" s="42" t="str">
        <f t="shared" si="15"/>
        <v/>
      </c>
      <c r="O91" s="40" t="s">
        <v>153</v>
      </c>
    </row>
    <row r="92" spans="1:15" ht="15" customHeight="1" x14ac:dyDescent="0.25">
      <c r="A92" s="37">
        <v>89</v>
      </c>
      <c r="B92" s="38" t="s">
        <v>44</v>
      </c>
      <c r="C92" s="37" t="s">
        <v>194</v>
      </c>
      <c r="D92" s="37" t="s">
        <v>60</v>
      </c>
      <c r="E92" s="37" t="s">
        <v>34</v>
      </c>
      <c r="F92" s="37" t="s">
        <v>242</v>
      </c>
      <c r="G92" s="37"/>
      <c r="H92" s="37" t="str">
        <f t="shared" si="12"/>
        <v/>
      </c>
      <c r="I92" s="37" t="str">
        <f t="shared" si="13"/>
        <v>Not Started</v>
      </c>
      <c r="J92" s="37" t="s">
        <v>133</v>
      </c>
      <c r="K92" s="37" t="s">
        <v>159</v>
      </c>
      <c r="L92" s="37" t="s">
        <v>147</v>
      </c>
      <c r="M92" s="37" t="str">
        <f t="shared" si="14"/>
        <v/>
      </c>
      <c r="N92" s="39" t="str">
        <f t="shared" si="15"/>
        <v/>
      </c>
      <c r="O92" s="37" t="s">
        <v>49</v>
      </c>
    </row>
    <row r="93" spans="1:15" ht="15" customHeight="1" x14ac:dyDescent="0.25">
      <c r="A93" s="40">
        <v>90</v>
      </c>
      <c r="B93" s="41" t="s">
        <v>46</v>
      </c>
      <c r="C93" s="40" t="s">
        <v>24</v>
      </c>
      <c r="D93" s="40" t="s">
        <v>277</v>
      </c>
      <c r="E93" s="40" t="s">
        <v>38</v>
      </c>
      <c r="F93" s="40" t="s">
        <v>249</v>
      </c>
      <c r="G93" s="40"/>
      <c r="H93" s="40" t="str">
        <f t="shared" si="12"/>
        <v/>
      </c>
      <c r="I93" s="40" t="str">
        <f t="shared" si="13"/>
        <v>In Progress</v>
      </c>
      <c r="J93" s="40" t="s">
        <v>205</v>
      </c>
      <c r="K93" s="40" t="s">
        <v>27</v>
      </c>
      <c r="L93" s="40" t="s">
        <v>144</v>
      </c>
      <c r="M93" s="40" t="str">
        <f t="shared" si="14"/>
        <v/>
      </c>
      <c r="N93" s="42" t="str">
        <f t="shared" si="15"/>
        <v/>
      </c>
      <c r="O93" s="40" t="s">
        <v>228</v>
      </c>
    </row>
    <row r="94" spans="1:15" ht="15" customHeight="1" x14ac:dyDescent="0.25">
      <c r="A94" s="37">
        <v>91</v>
      </c>
      <c r="B94" s="38" t="s">
        <v>17</v>
      </c>
      <c r="C94" s="37" t="s">
        <v>190</v>
      </c>
      <c r="D94" s="37" t="s">
        <v>291</v>
      </c>
      <c r="E94" s="37" t="s">
        <v>196</v>
      </c>
      <c r="F94" s="37" t="s">
        <v>252</v>
      </c>
      <c r="G94" s="37"/>
      <c r="H94" s="37" t="str">
        <f t="shared" si="12"/>
        <v/>
      </c>
      <c r="I94" s="37" t="str">
        <f t="shared" si="13"/>
        <v>In Progress</v>
      </c>
      <c r="J94" s="37" t="s">
        <v>270</v>
      </c>
      <c r="K94" s="37" t="s">
        <v>151</v>
      </c>
      <c r="L94" s="37" t="s">
        <v>135</v>
      </c>
      <c r="M94" s="37" t="str">
        <f t="shared" si="14"/>
        <v/>
      </c>
      <c r="N94" s="39" t="str">
        <f t="shared" si="15"/>
        <v/>
      </c>
      <c r="O94" s="37" t="s">
        <v>31</v>
      </c>
    </row>
    <row r="95" spans="1:15" ht="15" customHeight="1" x14ac:dyDescent="0.25">
      <c r="A95" s="40">
        <v>92</v>
      </c>
      <c r="B95" s="41" t="s">
        <v>23</v>
      </c>
      <c r="C95" s="40" t="s">
        <v>211</v>
      </c>
      <c r="D95" s="40" t="s">
        <v>25</v>
      </c>
      <c r="E95" s="40" t="s">
        <v>165</v>
      </c>
      <c r="F95" s="40" t="s">
        <v>292</v>
      </c>
      <c r="G95" s="40"/>
      <c r="H95" s="40" t="str">
        <f t="shared" si="12"/>
        <v/>
      </c>
      <c r="I95" s="40" t="str">
        <f t="shared" si="13"/>
        <v>In Progress</v>
      </c>
      <c r="J95" s="40" t="s">
        <v>143</v>
      </c>
      <c r="K95" s="40" t="s">
        <v>27</v>
      </c>
      <c r="L95" s="40" t="s">
        <v>138</v>
      </c>
      <c r="M95" s="40" t="str">
        <f t="shared" si="14"/>
        <v/>
      </c>
      <c r="N95" s="42" t="str">
        <f t="shared" si="15"/>
        <v/>
      </c>
      <c r="O95" s="40" t="s">
        <v>31</v>
      </c>
    </row>
    <row r="96" spans="1:15" ht="15" customHeight="1" x14ac:dyDescent="0.25">
      <c r="A96" s="37">
        <v>93</v>
      </c>
      <c r="B96" s="38" t="s">
        <v>28</v>
      </c>
      <c r="C96" s="37" t="s">
        <v>114</v>
      </c>
      <c r="D96" s="37" t="s">
        <v>37</v>
      </c>
      <c r="E96" s="37" t="s">
        <v>125</v>
      </c>
      <c r="F96" s="37" t="s">
        <v>251</v>
      </c>
      <c r="G96" s="37"/>
      <c r="H96" s="37" t="str">
        <f t="shared" si="12"/>
        <v/>
      </c>
      <c r="I96" s="37" t="str">
        <f t="shared" si="13"/>
        <v>Not Started</v>
      </c>
      <c r="J96" s="37" t="s">
        <v>168</v>
      </c>
      <c r="K96" s="37" t="s">
        <v>123</v>
      </c>
      <c r="L96" s="37" t="s">
        <v>135</v>
      </c>
      <c r="M96" s="37" t="str">
        <f t="shared" si="14"/>
        <v/>
      </c>
      <c r="N96" s="39" t="str">
        <f t="shared" si="15"/>
        <v/>
      </c>
      <c r="O96" s="37" t="s">
        <v>163</v>
      </c>
    </row>
    <row r="97" spans="1:15" ht="15" customHeight="1" x14ac:dyDescent="0.25">
      <c r="A97" s="40">
        <v>94</v>
      </c>
      <c r="B97" s="41" t="s">
        <v>32</v>
      </c>
      <c r="C97" s="40" t="s">
        <v>155</v>
      </c>
      <c r="D97" s="40" t="s">
        <v>119</v>
      </c>
      <c r="E97" s="40" t="s">
        <v>241</v>
      </c>
      <c r="F97" s="40" t="s">
        <v>280</v>
      </c>
      <c r="G97" s="40"/>
      <c r="H97" s="40" t="str">
        <f t="shared" si="12"/>
        <v/>
      </c>
      <c r="I97" s="40" t="str">
        <f t="shared" si="13"/>
        <v>Completed</v>
      </c>
      <c r="J97" s="40" t="s">
        <v>213</v>
      </c>
      <c r="K97" s="40" t="s">
        <v>201</v>
      </c>
      <c r="L97" s="40" t="s">
        <v>138</v>
      </c>
      <c r="M97" s="40" t="str">
        <f t="shared" si="14"/>
        <v/>
      </c>
      <c r="N97" s="42" t="str">
        <f t="shared" si="15"/>
        <v/>
      </c>
      <c r="O97" s="40" t="s">
        <v>153</v>
      </c>
    </row>
    <row r="98" spans="1:15" ht="15" customHeight="1" x14ac:dyDescent="0.25">
      <c r="A98" s="37">
        <v>95</v>
      </c>
      <c r="B98" s="38" t="s">
        <v>36</v>
      </c>
      <c r="C98" s="37" t="s">
        <v>29</v>
      </c>
      <c r="D98" s="37" t="s">
        <v>283</v>
      </c>
      <c r="E98" s="37" t="s">
        <v>38</v>
      </c>
      <c r="F98" s="37" t="s">
        <v>146</v>
      </c>
      <c r="G98" s="37"/>
      <c r="H98" s="37" t="str">
        <f t="shared" si="12"/>
        <v/>
      </c>
      <c r="I98" s="37" t="str">
        <f t="shared" si="13"/>
        <v>In Progress</v>
      </c>
      <c r="J98" s="37" t="s">
        <v>231</v>
      </c>
      <c r="K98" s="37" t="s">
        <v>187</v>
      </c>
      <c r="L98" s="37" t="s">
        <v>138</v>
      </c>
      <c r="M98" s="37" t="str">
        <f t="shared" si="14"/>
        <v/>
      </c>
      <c r="N98" s="39" t="str">
        <f t="shared" si="15"/>
        <v/>
      </c>
      <c r="O98" s="37" t="s">
        <v>31</v>
      </c>
    </row>
    <row r="99" spans="1:15" ht="15" customHeight="1" x14ac:dyDescent="0.25">
      <c r="A99" s="40">
        <v>96</v>
      </c>
      <c r="B99" s="41" t="s">
        <v>39</v>
      </c>
      <c r="C99" s="40" t="s">
        <v>164</v>
      </c>
      <c r="D99" s="40" t="s">
        <v>37</v>
      </c>
      <c r="E99" s="40" t="s">
        <v>196</v>
      </c>
      <c r="F99" s="40" t="s">
        <v>293</v>
      </c>
      <c r="G99" s="40"/>
      <c r="H99" s="40" t="str">
        <f t="shared" si="12"/>
        <v/>
      </c>
      <c r="I99" s="40" t="str">
        <f t="shared" si="13"/>
        <v>In Progress</v>
      </c>
      <c r="J99" s="40" t="s">
        <v>294</v>
      </c>
      <c r="K99" s="40" t="s">
        <v>187</v>
      </c>
      <c r="L99" s="40" t="s">
        <v>135</v>
      </c>
      <c r="M99" s="40" t="str">
        <f t="shared" si="14"/>
        <v/>
      </c>
      <c r="N99" s="42" t="str">
        <f t="shared" si="15"/>
        <v/>
      </c>
      <c r="O99" s="40" t="s">
        <v>59</v>
      </c>
    </row>
    <row r="100" spans="1:15" ht="15" customHeight="1" x14ac:dyDescent="0.25">
      <c r="A100" s="37">
        <v>97</v>
      </c>
      <c r="B100" s="38" t="s">
        <v>40</v>
      </c>
      <c r="C100" s="37" t="s">
        <v>148</v>
      </c>
      <c r="D100" s="37" t="s">
        <v>45</v>
      </c>
      <c r="E100" s="37" t="s">
        <v>120</v>
      </c>
      <c r="F100" s="37" t="s">
        <v>295</v>
      </c>
      <c r="G100" s="37"/>
      <c r="H100" s="37" t="str">
        <f t="shared" si="12"/>
        <v/>
      </c>
      <c r="I100" s="37" t="str">
        <f t="shared" si="13"/>
        <v>In Progress</v>
      </c>
      <c r="J100" s="37" t="s">
        <v>143</v>
      </c>
      <c r="K100" s="37" t="s">
        <v>134</v>
      </c>
      <c r="L100" s="37" t="s">
        <v>147</v>
      </c>
      <c r="M100" s="37" t="str">
        <f t="shared" si="14"/>
        <v/>
      </c>
      <c r="N100" s="39" t="str">
        <f t="shared" si="15"/>
        <v/>
      </c>
      <c r="O100" s="37" t="s">
        <v>31</v>
      </c>
    </row>
    <row r="101" spans="1:15" ht="15" customHeight="1" x14ac:dyDescent="0.25">
      <c r="A101" s="40">
        <v>98</v>
      </c>
      <c r="B101" s="41" t="s">
        <v>42</v>
      </c>
      <c r="C101" s="40" t="s">
        <v>24</v>
      </c>
      <c r="D101" s="40" t="s">
        <v>255</v>
      </c>
      <c r="E101" s="40" t="s">
        <v>125</v>
      </c>
      <c r="F101" s="40" t="s">
        <v>161</v>
      </c>
      <c r="G101" s="40"/>
      <c r="H101" s="40" t="str">
        <f t="shared" si="12"/>
        <v/>
      </c>
      <c r="I101" s="40" t="str">
        <f t="shared" si="13"/>
        <v>In Progress</v>
      </c>
      <c r="J101" s="40" t="s">
        <v>225</v>
      </c>
      <c r="K101" s="40" t="s">
        <v>151</v>
      </c>
      <c r="L101" s="40" t="s">
        <v>147</v>
      </c>
      <c r="M101" s="40" t="str">
        <f t="shared" si="14"/>
        <v/>
      </c>
      <c r="N101" s="42" t="str">
        <f t="shared" si="15"/>
        <v/>
      </c>
      <c r="O101" s="40" t="s">
        <v>55</v>
      </c>
    </row>
    <row r="102" spans="1:15" ht="15" customHeight="1" x14ac:dyDescent="0.25">
      <c r="A102" s="37">
        <v>99</v>
      </c>
      <c r="B102" s="38" t="s">
        <v>44</v>
      </c>
      <c r="C102" s="37" t="s">
        <v>209</v>
      </c>
      <c r="D102" s="37" t="s">
        <v>206</v>
      </c>
      <c r="E102" s="37" t="s">
        <v>131</v>
      </c>
      <c r="F102" s="37" t="s">
        <v>296</v>
      </c>
      <c r="G102" s="37"/>
      <c r="H102" s="37" t="str">
        <f t="shared" si="12"/>
        <v/>
      </c>
      <c r="I102" s="37" t="str">
        <f t="shared" si="13"/>
        <v>In Progress</v>
      </c>
      <c r="J102" s="37" t="s">
        <v>253</v>
      </c>
      <c r="K102" s="37" t="s">
        <v>43</v>
      </c>
      <c r="L102" s="37" t="s">
        <v>147</v>
      </c>
      <c r="M102" s="37" t="str">
        <f t="shared" si="14"/>
        <v/>
      </c>
      <c r="N102" s="39" t="str">
        <f t="shared" si="15"/>
        <v/>
      </c>
      <c r="O102" s="37" t="s">
        <v>49</v>
      </c>
    </row>
    <row r="103" spans="1:15" ht="15" customHeight="1" x14ac:dyDescent="0.25">
      <c r="A103" s="40">
        <v>100</v>
      </c>
      <c r="B103" s="41" t="s">
        <v>46</v>
      </c>
      <c r="C103" s="40" t="s">
        <v>129</v>
      </c>
      <c r="D103" s="40" t="s">
        <v>47</v>
      </c>
      <c r="E103" s="40" t="s">
        <v>38</v>
      </c>
      <c r="F103" s="40" t="s">
        <v>297</v>
      </c>
      <c r="G103" s="40"/>
      <c r="H103" s="40" t="str">
        <f t="shared" si="12"/>
        <v/>
      </c>
      <c r="I103" s="40" t="str">
        <f t="shared" si="13"/>
        <v>In Progress</v>
      </c>
      <c r="J103" s="40" t="s">
        <v>182</v>
      </c>
      <c r="K103" s="40" t="s">
        <v>21</v>
      </c>
      <c r="L103" s="40" t="s">
        <v>135</v>
      </c>
      <c r="M103" s="40" t="str">
        <f t="shared" si="14"/>
        <v/>
      </c>
      <c r="N103" s="42" t="str">
        <f t="shared" si="15"/>
        <v/>
      </c>
      <c r="O103" s="40" t="s">
        <v>31</v>
      </c>
    </row>
    <row r="104" spans="1:15" ht="15" customHeight="1" x14ac:dyDescent="0.25">
      <c r="A104" s="37">
        <v>101</v>
      </c>
      <c r="B104" s="38" t="s">
        <v>17</v>
      </c>
      <c r="C104" s="37" t="s">
        <v>114</v>
      </c>
      <c r="D104" s="37" t="s">
        <v>50</v>
      </c>
      <c r="E104" s="37" t="s">
        <v>20</v>
      </c>
      <c r="F104" s="37" t="s">
        <v>298</v>
      </c>
      <c r="G104" s="37"/>
      <c r="H104" s="37" t="str">
        <f t="shared" si="12"/>
        <v/>
      </c>
      <c r="I104" s="37" t="str">
        <f t="shared" si="13"/>
        <v>In Progress</v>
      </c>
      <c r="J104" s="37" t="s">
        <v>205</v>
      </c>
      <c r="K104" s="37" t="s">
        <v>151</v>
      </c>
      <c r="L104" s="37" t="s">
        <v>152</v>
      </c>
      <c r="M104" s="37" t="str">
        <f t="shared" si="14"/>
        <v/>
      </c>
      <c r="N104" s="39" t="str">
        <f t="shared" si="15"/>
        <v/>
      </c>
      <c r="O104" s="37" t="s">
        <v>49</v>
      </c>
    </row>
    <row r="105" spans="1:15" ht="15" customHeight="1" x14ac:dyDescent="0.25">
      <c r="A105" s="40">
        <v>102</v>
      </c>
      <c r="B105" s="41" t="s">
        <v>23</v>
      </c>
      <c r="C105" s="40" t="s">
        <v>24</v>
      </c>
      <c r="D105" s="40" t="s">
        <v>237</v>
      </c>
      <c r="E105" s="40" t="s">
        <v>26</v>
      </c>
      <c r="F105" s="40" t="s">
        <v>299</v>
      </c>
      <c r="G105" s="40"/>
      <c r="H105" s="40" t="str">
        <f t="shared" si="12"/>
        <v/>
      </c>
      <c r="I105" s="40" t="str">
        <f t="shared" si="13"/>
        <v>In Progress</v>
      </c>
      <c r="J105" s="40" t="s">
        <v>150</v>
      </c>
      <c r="K105" s="40" t="s">
        <v>123</v>
      </c>
      <c r="L105" s="40" t="s">
        <v>124</v>
      </c>
      <c r="M105" s="40" t="str">
        <f t="shared" si="14"/>
        <v/>
      </c>
      <c r="N105" s="42" t="str">
        <f t="shared" si="15"/>
        <v/>
      </c>
      <c r="O105" s="40" t="s">
        <v>31</v>
      </c>
    </row>
    <row r="106" spans="1:15" ht="15" customHeight="1" x14ac:dyDescent="0.25">
      <c r="A106" s="37">
        <v>103</v>
      </c>
      <c r="B106" s="38" t="s">
        <v>28</v>
      </c>
      <c r="C106" s="37" t="s">
        <v>190</v>
      </c>
      <c r="D106" s="37" t="s">
        <v>52</v>
      </c>
      <c r="E106" s="37" t="s">
        <v>30</v>
      </c>
      <c r="F106" s="37" t="s">
        <v>300</v>
      </c>
      <c r="G106" s="37"/>
      <c r="H106" s="37" t="str">
        <f t="shared" si="12"/>
        <v/>
      </c>
      <c r="I106" s="37" t="str">
        <f t="shared" si="13"/>
        <v>In Progress</v>
      </c>
      <c r="J106" s="37" t="s">
        <v>231</v>
      </c>
      <c r="K106" s="37" t="s">
        <v>43</v>
      </c>
      <c r="L106" s="37" t="s">
        <v>152</v>
      </c>
      <c r="M106" s="37" t="str">
        <f t="shared" si="14"/>
        <v/>
      </c>
      <c r="N106" s="39" t="str">
        <f t="shared" si="15"/>
        <v/>
      </c>
      <c r="O106" s="37" t="s">
        <v>35</v>
      </c>
    </row>
    <row r="107" spans="1:15" ht="15" customHeight="1" x14ac:dyDescent="0.25">
      <c r="A107" s="40">
        <v>104</v>
      </c>
      <c r="B107" s="41" t="s">
        <v>32</v>
      </c>
      <c r="C107" s="40" t="s">
        <v>211</v>
      </c>
      <c r="D107" s="40" t="s">
        <v>54</v>
      </c>
      <c r="E107" s="40" t="s">
        <v>34</v>
      </c>
      <c r="F107" s="40" t="s">
        <v>301</v>
      </c>
      <c r="G107" s="40"/>
      <c r="H107" s="40" t="str">
        <f t="shared" si="12"/>
        <v/>
      </c>
      <c r="I107" s="40" t="str">
        <f t="shared" si="13"/>
        <v>In Progress</v>
      </c>
      <c r="J107" s="40" t="s">
        <v>253</v>
      </c>
      <c r="K107" s="40" t="s">
        <v>187</v>
      </c>
      <c r="L107" s="40" t="s">
        <v>135</v>
      </c>
      <c r="M107" s="40" t="str">
        <f t="shared" si="14"/>
        <v/>
      </c>
      <c r="N107" s="42" t="str">
        <f t="shared" si="15"/>
        <v/>
      </c>
      <c r="O107" s="40" t="s">
        <v>49</v>
      </c>
    </row>
    <row r="108" spans="1:15" ht="15" customHeight="1" x14ac:dyDescent="0.25">
      <c r="A108" s="37">
        <v>105</v>
      </c>
      <c r="B108" s="38" t="s">
        <v>36</v>
      </c>
      <c r="C108" s="37" t="s">
        <v>114</v>
      </c>
      <c r="D108" s="37" t="s">
        <v>54</v>
      </c>
      <c r="E108" s="37" t="s">
        <v>38</v>
      </c>
      <c r="F108" s="37" t="s">
        <v>302</v>
      </c>
      <c r="G108" s="37"/>
      <c r="H108" s="37" t="str">
        <f t="shared" si="12"/>
        <v/>
      </c>
      <c r="I108" s="37" t="str">
        <f t="shared" si="13"/>
        <v>Not Started</v>
      </c>
      <c r="J108" s="37" t="s">
        <v>168</v>
      </c>
      <c r="K108" s="37" t="s">
        <v>134</v>
      </c>
      <c r="L108" s="37" t="s">
        <v>152</v>
      </c>
      <c r="M108" s="37" t="str">
        <f t="shared" si="14"/>
        <v/>
      </c>
      <c r="N108" s="39" t="str">
        <f t="shared" si="15"/>
        <v/>
      </c>
      <c r="O108" s="37" t="s">
        <v>59</v>
      </c>
    </row>
    <row r="109" spans="1:15" ht="15" customHeight="1" x14ac:dyDescent="0.25">
      <c r="A109" s="40">
        <v>106</v>
      </c>
      <c r="B109" s="41" t="s">
        <v>39</v>
      </c>
      <c r="C109" s="40" t="s">
        <v>118</v>
      </c>
      <c r="D109" s="40" t="s">
        <v>277</v>
      </c>
      <c r="E109" s="40" t="s">
        <v>20</v>
      </c>
      <c r="F109" s="40" t="s">
        <v>303</v>
      </c>
      <c r="G109" s="40"/>
      <c r="H109" s="40" t="str">
        <f t="shared" si="12"/>
        <v/>
      </c>
      <c r="I109" s="40" t="str">
        <f t="shared" si="13"/>
        <v>Not Started</v>
      </c>
      <c r="J109" s="40" t="s">
        <v>208</v>
      </c>
      <c r="K109" s="40" t="s">
        <v>134</v>
      </c>
      <c r="L109" s="40" t="s">
        <v>135</v>
      </c>
      <c r="M109" s="40" t="str">
        <f t="shared" si="14"/>
        <v/>
      </c>
      <c r="N109" s="42" t="str">
        <f t="shared" si="15"/>
        <v/>
      </c>
      <c r="O109" s="40" t="s">
        <v>31</v>
      </c>
    </row>
    <row r="110" spans="1:15" ht="15" customHeight="1" x14ac:dyDescent="0.25">
      <c r="A110" s="37">
        <v>107</v>
      </c>
      <c r="B110" s="38" t="s">
        <v>40</v>
      </c>
      <c r="C110" s="37" t="s">
        <v>29</v>
      </c>
      <c r="D110" s="37" t="s">
        <v>119</v>
      </c>
      <c r="E110" s="37" t="s">
        <v>165</v>
      </c>
      <c r="F110" s="37" t="s">
        <v>132</v>
      </c>
      <c r="G110" s="37"/>
      <c r="H110" s="37" t="str">
        <f t="shared" si="12"/>
        <v/>
      </c>
      <c r="I110" s="37" t="str">
        <f t="shared" si="13"/>
        <v>In Progress</v>
      </c>
      <c r="J110" s="37" t="s">
        <v>189</v>
      </c>
      <c r="K110" s="37" t="s">
        <v>173</v>
      </c>
      <c r="L110" s="37" t="s">
        <v>144</v>
      </c>
      <c r="M110" s="37" t="str">
        <f t="shared" si="14"/>
        <v/>
      </c>
      <c r="N110" s="39" t="str">
        <f t="shared" si="15"/>
        <v/>
      </c>
      <c r="O110" s="37" t="s">
        <v>35</v>
      </c>
    </row>
    <row r="111" spans="1:15" ht="15" customHeight="1" x14ac:dyDescent="0.25">
      <c r="A111" s="40">
        <v>108</v>
      </c>
      <c r="B111" s="41" t="s">
        <v>42</v>
      </c>
      <c r="C111" s="40" t="s">
        <v>33</v>
      </c>
      <c r="D111" s="40" t="s">
        <v>25</v>
      </c>
      <c r="E111" s="40" t="s">
        <v>125</v>
      </c>
      <c r="F111" s="40" t="s">
        <v>267</v>
      </c>
      <c r="G111" s="40"/>
      <c r="H111" s="40" t="str">
        <f t="shared" si="12"/>
        <v/>
      </c>
      <c r="I111" s="40" t="str">
        <f t="shared" si="13"/>
        <v>Completed</v>
      </c>
      <c r="J111" s="40" t="s">
        <v>122</v>
      </c>
      <c r="K111" s="40" t="s">
        <v>27</v>
      </c>
      <c r="L111" s="40" t="s">
        <v>135</v>
      </c>
      <c r="M111" s="40" t="str">
        <f t="shared" si="14"/>
        <v/>
      </c>
      <c r="N111" s="42" t="str">
        <f t="shared" si="15"/>
        <v/>
      </c>
      <c r="O111" s="40" t="s">
        <v>31</v>
      </c>
    </row>
    <row r="112" spans="1:15" ht="15" customHeight="1" x14ac:dyDescent="0.25">
      <c r="A112" s="37">
        <v>109</v>
      </c>
      <c r="B112" s="38" t="s">
        <v>44</v>
      </c>
      <c r="C112" s="37" t="s">
        <v>148</v>
      </c>
      <c r="D112" s="37" t="s">
        <v>56</v>
      </c>
      <c r="E112" s="37" t="s">
        <v>131</v>
      </c>
      <c r="F112" s="37" t="s">
        <v>304</v>
      </c>
      <c r="G112" s="37"/>
      <c r="H112" s="37" t="str">
        <f t="shared" si="12"/>
        <v/>
      </c>
      <c r="I112" s="37" t="str">
        <f t="shared" si="13"/>
        <v>In Progress</v>
      </c>
      <c r="J112" s="37" t="s">
        <v>158</v>
      </c>
      <c r="K112" s="37" t="s">
        <v>151</v>
      </c>
      <c r="L112" s="37" t="s">
        <v>147</v>
      </c>
      <c r="M112" s="37" t="str">
        <f t="shared" si="14"/>
        <v/>
      </c>
      <c r="N112" s="39" t="str">
        <f t="shared" si="15"/>
        <v/>
      </c>
      <c r="O112" s="37" t="s">
        <v>214</v>
      </c>
    </row>
    <row r="113" spans="1:15" ht="15" customHeight="1" x14ac:dyDescent="0.25">
      <c r="A113" s="40">
        <v>110</v>
      </c>
      <c r="B113" s="41" t="s">
        <v>46</v>
      </c>
      <c r="C113" s="40" t="s">
        <v>155</v>
      </c>
      <c r="D113" s="40" t="s">
        <v>283</v>
      </c>
      <c r="E113" s="40" t="s">
        <v>38</v>
      </c>
      <c r="F113" s="40" t="s">
        <v>300</v>
      </c>
      <c r="G113" s="40"/>
      <c r="H113" s="40" t="str">
        <f t="shared" si="12"/>
        <v/>
      </c>
      <c r="I113" s="40" t="str">
        <f t="shared" si="13"/>
        <v>Not Started</v>
      </c>
      <c r="J113" s="40" t="s">
        <v>133</v>
      </c>
      <c r="K113" s="40" t="s">
        <v>123</v>
      </c>
      <c r="L113" s="40" t="s">
        <v>117</v>
      </c>
      <c r="M113" s="40" t="str">
        <f t="shared" si="14"/>
        <v/>
      </c>
      <c r="N113" s="42" t="str">
        <f t="shared" si="15"/>
        <v/>
      </c>
      <c r="O113" s="40" t="s">
        <v>59</v>
      </c>
    </row>
    <row r="114" spans="1:15" ht="15" customHeight="1" x14ac:dyDescent="0.25">
      <c r="A114" s="37">
        <v>111</v>
      </c>
      <c r="B114" s="38" t="s">
        <v>17</v>
      </c>
      <c r="C114" s="37" t="s">
        <v>179</v>
      </c>
      <c r="D114" s="37" t="s">
        <v>119</v>
      </c>
      <c r="E114" s="37" t="s">
        <v>196</v>
      </c>
      <c r="F114" s="37" t="s">
        <v>305</v>
      </c>
      <c r="G114" s="37"/>
      <c r="H114" s="37" t="str">
        <f t="shared" ref="H114:H145" si="16">IF(OR(F114="",G114=""),"",G114-F114)</f>
        <v/>
      </c>
      <c r="I114" s="37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37" t="s">
        <v>143</v>
      </c>
      <c r="K114" s="37" t="s">
        <v>128</v>
      </c>
      <c r="L114" s="37" t="s">
        <v>152</v>
      </c>
      <c r="M114" s="37" t="str">
        <f t="shared" ref="M114:M145" si="18">IF(H114="","",H114*8)</f>
        <v/>
      </c>
      <c r="N114" s="39" t="str">
        <f t="shared" ref="N114:N145" si="19">IF(OR(L114="",H114=""),"",L114*H114)</f>
        <v/>
      </c>
      <c r="O114" s="37" t="s">
        <v>153</v>
      </c>
    </row>
    <row r="115" spans="1:15" ht="15" customHeight="1" x14ac:dyDescent="0.25">
      <c r="A115" s="40">
        <v>112</v>
      </c>
      <c r="B115" s="41" t="s">
        <v>23</v>
      </c>
      <c r="C115" s="40" t="s">
        <v>33</v>
      </c>
      <c r="D115" s="40" t="s">
        <v>58</v>
      </c>
      <c r="E115" s="40" t="s">
        <v>26</v>
      </c>
      <c r="F115" s="40" t="s">
        <v>306</v>
      </c>
      <c r="G115" s="40"/>
      <c r="H115" s="40" t="str">
        <f t="shared" si="16"/>
        <v/>
      </c>
      <c r="I115" s="40" t="str">
        <f t="shared" si="17"/>
        <v>Completed</v>
      </c>
      <c r="J115" s="40" t="s">
        <v>122</v>
      </c>
      <c r="K115" s="40" t="s">
        <v>201</v>
      </c>
      <c r="L115" s="40" t="s">
        <v>147</v>
      </c>
      <c r="M115" s="40" t="str">
        <f t="shared" si="18"/>
        <v/>
      </c>
      <c r="N115" s="42" t="str">
        <f t="shared" si="19"/>
        <v/>
      </c>
      <c r="O115" s="40" t="s">
        <v>31</v>
      </c>
    </row>
    <row r="116" spans="1:15" ht="15" customHeight="1" x14ac:dyDescent="0.25">
      <c r="A116" s="37">
        <v>113</v>
      </c>
      <c r="B116" s="38" t="s">
        <v>28</v>
      </c>
      <c r="C116" s="37" t="s">
        <v>114</v>
      </c>
      <c r="D116" s="37" t="s">
        <v>266</v>
      </c>
      <c r="E116" s="37" t="s">
        <v>170</v>
      </c>
      <c r="F116" s="37" t="s">
        <v>238</v>
      </c>
      <c r="G116" s="37"/>
      <c r="H116" s="37" t="str">
        <f t="shared" si="16"/>
        <v/>
      </c>
      <c r="I116" s="37" t="str">
        <f t="shared" si="17"/>
        <v>Completed</v>
      </c>
      <c r="J116" s="37" t="s">
        <v>137</v>
      </c>
      <c r="K116" s="37" t="s">
        <v>123</v>
      </c>
      <c r="L116" s="37" t="s">
        <v>152</v>
      </c>
      <c r="M116" s="37" t="str">
        <f t="shared" si="18"/>
        <v/>
      </c>
      <c r="N116" s="39" t="str">
        <f t="shared" si="19"/>
        <v/>
      </c>
      <c r="O116" s="37" t="s">
        <v>59</v>
      </c>
    </row>
    <row r="117" spans="1:15" ht="15" customHeight="1" x14ac:dyDescent="0.25">
      <c r="A117" s="40">
        <v>114</v>
      </c>
      <c r="B117" s="41" t="s">
        <v>32</v>
      </c>
      <c r="C117" s="40" t="s">
        <v>155</v>
      </c>
      <c r="D117" s="40" t="s">
        <v>48</v>
      </c>
      <c r="E117" s="40" t="s">
        <v>34</v>
      </c>
      <c r="F117" s="40" t="s">
        <v>307</v>
      </c>
      <c r="G117" s="40"/>
      <c r="H117" s="40" t="str">
        <f t="shared" si="16"/>
        <v/>
      </c>
      <c r="I117" s="40" t="str">
        <f t="shared" si="17"/>
        <v>In Progress</v>
      </c>
      <c r="J117" s="40" t="s">
        <v>150</v>
      </c>
      <c r="K117" s="40" t="s">
        <v>201</v>
      </c>
      <c r="L117" s="40" t="s">
        <v>124</v>
      </c>
      <c r="M117" s="40" t="str">
        <f t="shared" si="18"/>
        <v/>
      </c>
      <c r="N117" s="42" t="str">
        <f t="shared" si="19"/>
        <v/>
      </c>
      <c r="O117" s="40" t="s">
        <v>214</v>
      </c>
    </row>
    <row r="118" spans="1:15" ht="15" customHeight="1" x14ac:dyDescent="0.25">
      <c r="A118" s="37">
        <v>115</v>
      </c>
      <c r="B118" s="38" t="s">
        <v>36</v>
      </c>
      <c r="C118" s="37" t="s">
        <v>190</v>
      </c>
      <c r="D118" s="37" t="s">
        <v>45</v>
      </c>
      <c r="E118" s="37" t="s">
        <v>38</v>
      </c>
      <c r="F118" s="37" t="s">
        <v>276</v>
      </c>
      <c r="G118" s="37"/>
      <c r="H118" s="37" t="str">
        <f t="shared" si="16"/>
        <v/>
      </c>
      <c r="I118" s="37" t="str">
        <f t="shared" si="17"/>
        <v>In Progress</v>
      </c>
      <c r="J118" s="37" t="s">
        <v>162</v>
      </c>
      <c r="K118" s="37" t="s">
        <v>43</v>
      </c>
      <c r="L118" s="37" t="s">
        <v>147</v>
      </c>
      <c r="M118" s="37" t="str">
        <f t="shared" si="18"/>
        <v/>
      </c>
      <c r="N118" s="39" t="str">
        <f t="shared" si="19"/>
        <v/>
      </c>
      <c r="O118" s="37" t="s">
        <v>228</v>
      </c>
    </row>
    <row r="119" spans="1:15" ht="15" customHeight="1" x14ac:dyDescent="0.25">
      <c r="A119" s="40">
        <v>116</v>
      </c>
      <c r="B119" s="41" t="s">
        <v>39</v>
      </c>
      <c r="C119" s="40" t="s">
        <v>211</v>
      </c>
      <c r="D119" s="40" t="s">
        <v>50</v>
      </c>
      <c r="E119" s="40" t="s">
        <v>141</v>
      </c>
      <c r="F119" s="40" t="s">
        <v>308</v>
      </c>
      <c r="G119" s="40"/>
      <c r="H119" s="40" t="str">
        <f t="shared" si="16"/>
        <v/>
      </c>
      <c r="I119" s="40" t="str">
        <f t="shared" si="17"/>
        <v>In Progress</v>
      </c>
      <c r="J119" s="40" t="s">
        <v>150</v>
      </c>
      <c r="K119" s="40" t="s">
        <v>123</v>
      </c>
      <c r="L119" s="40" t="s">
        <v>147</v>
      </c>
      <c r="M119" s="40" t="str">
        <f t="shared" si="18"/>
        <v/>
      </c>
      <c r="N119" s="42" t="str">
        <f t="shared" si="19"/>
        <v/>
      </c>
      <c r="O119" s="40" t="s">
        <v>49</v>
      </c>
    </row>
    <row r="120" spans="1:15" ht="15" customHeight="1" x14ac:dyDescent="0.25">
      <c r="A120" s="37">
        <v>117</v>
      </c>
      <c r="B120" s="38" t="s">
        <v>40</v>
      </c>
      <c r="C120" s="37" t="s">
        <v>114</v>
      </c>
      <c r="D120" s="37" t="s">
        <v>237</v>
      </c>
      <c r="E120" s="37" t="s">
        <v>165</v>
      </c>
      <c r="F120" s="37" t="s">
        <v>309</v>
      </c>
      <c r="G120" s="37"/>
      <c r="H120" s="37" t="str">
        <f t="shared" si="16"/>
        <v/>
      </c>
      <c r="I120" s="37" t="str">
        <f t="shared" si="17"/>
        <v>In Progress</v>
      </c>
      <c r="J120" s="37" t="s">
        <v>205</v>
      </c>
      <c r="K120" s="37" t="s">
        <v>27</v>
      </c>
      <c r="L120" s="37" t="s">
        <v>117</v>
      </c>
      <c r="M120" s="37" t="str">
        <f t="shared" si="18"/>
        <v/>
      </c>
      <c r="N120" s="39" t="str">
        <f t="shared" si="19"/>
        <v/>
      </c>
      <c r="O120" s="37" t="s">
        <v>55</v>
      </c>
    </row>
    <row r="121" spans="1:15" ht="15" customHeight="1" x14ac:dyDescent="0.25">
      <c r="A121" s="40">
        <v>118</v>
      </c>
      <c r="B121" s="41" t="s">
        <v>42</v>
      </c>
      <c r="C121" s="40" t="s">
        <v>139</v>
      </c>
      <c r="D121" s="40" t="s">
        <v>203</v>
      </c>
      <c r="E121" s="40" t="s">
        <v>125</v>
      </c>
      <c r="F121" s="40" t="s">
        <v>310</v>
      </c>
      <c r="G121" s="40"/>
      <c r="H121" s="40" t="str">
        <f t="shared" si="16"/>
        <v/>
      </c>
      <c r="I121" s="40" t="str">
        <f t="shared" si="17"/>
        <v>In Progress</v>
      </c>
      <c r="J121" s="40" t="s">
        <v>127</v>
      </c>
      <c r="K121" s="40" t="s">
        <v>159</v>
      </c>
      <c r="L121" s="40" t="s">
        <v>135</v>
      </c>
      <c r="M121" s="40" t="str">
        <f t="shared" si="18"/>
        <v/>
      </c>
      <c r="N121" s="42" t="str">
        <f t="shared" si="19"/>
        <v/>
      </c>
      <c r="O121" s="40" t="s">
        <v>153</v>
      </c>
    </row>
    <row r="122" spans="1:15" ht="15" customHeight="1" x14ac:dyDescent="0.25">
      <c r="A122" s="37">
        <v>119</v>
      </c>
      <c r="B122" s="38" t="s">
        <v>44</v>
      </c>
      <c r="C122" s="37" t="s">
        <v>209</v>
      </c>
      <c r="D122" s="37" t="s">
        <v>291</v>
      </c>
      <c r="E122" s="37" t="s">
        <v>131</v>
      </c>
      <c r="F122" s="37" t="s">
        <v>136</v>
      </c>
      <c r="G122" s="37"/>
      <c r="H122" s="37" t="str">
        <f t="shared" si="16"/>
        <v/>
      </c>
      <c r="I122" s="37" t="str">
        <f t="shared" si="17"/>
        <v>Completed</v>
      </c>
      <c r="J122" s="37" t="s">
        <v>122</v>
      </c>
      <c r="K122" s="37" t="s">
        <v>173</v>
      </c>
      <c r="L122" s="37" t="s">
        <v>124</v>
      </c>
      <c r="M122" s="37" t="str">
        <f t="shared" si="18"/>
        <v/>
      </c>
      <c r="N122" s="39" t="str">
        <f t="shared" si="19"/>
        <v/>
      </c>
      <c r="O122" s="37" t="s">
        <v>214</v>
      </c>
    </row>
    <row r="123" spans="1:15" ht="15" customHeight="1" x14ac:dyDescent="0.25">
      <c r="A123" s="40">
        <v>120</v>
      </c>
      <c r="B123" s="41" t="s">
        <v>46</v>
      </c>
      <c r="C123" s="40" t="s">
        <v>33</v>
      </c>
      <c r="D123" s="40" t="s">
        <v>53</v>
      </c>
      <c r="E123" s="40" t="s">
        <v>38</v>
      </c>
      <c r="F123" s="40" t="s">
        <v>311</v>
      </c>
      <c r="G123" s="40"/>
      <c r="H123" s="40" t="str">
        <f t="shared" si="16"/>
        <v/>
      </c>
      <c r="I123" s="40" t="str">
        <f t="shared" si="17"/>
        <v>Completed</v>
      </c>
      <c r="J123" s="40" t="s">
        <v>122</v>
      </c>
      <c r="K123" s="40" t="s">
        <v>21</v>
      </c>
      <c r="L123" s="40" t="s">
        <v>138</v>
      </c>
      <c r="M123" s="40" t="str">
        <f t="shared" si="18"/>
        <v/>
      </c>
      <c r="N123" s="42" t="str">
        <f t="shared" si="19"/>
        <v/>
      </c>
      <c r="O123" s="40" t="s">
        <v>31</v>
      </c>
    </row>
    <row r="124" spans="1:15" ht="15" customHeight="1" x14ac:dyDescent="0.25">
      <c r="A124" s="37">
        <v>121</v>
      </c>
      <c r="B124" s="38" t="s">
        <v>17</v>
      </c>
      <c r="C124" s="37" t="s">
        <v>148</v>
      </c>
      <c r="D124" s="37" t="s">
        <v>185</v>
      </c>
      <c r="E124" s="37" t="s">
        <v>196</v>
      </c>
      <c r="F124" s="37" t="s">
        <v>132</v>
      </c>
      <c r="G124" s="37"/>
      <c r="H124" s="37" t="str">
        <f t="shared" si="16"/>
        <v/>
      </c>
      <c r="I124" s="37" t="str">
        <f t="shared" si="17"/>
        <v>In Progress</v>
      </c>
      <c r="J124" s="37" t="s">
        <v>235</v>
      </c>
      <c r="K124" s="37" t="s">
        <v>51</v>
      </c>
      <c r="L124" s="37" t="s">
        <v>135</v>
      </c>
      <c r="M124" s="37" t="str">
        <f t="shared" si="18"/>
        <v/>
      </c>
      <c r="N124" s="39" t="str">
        <f t="shared" si="19"/>
        <v/>
      </c>
      <c r="O124" s="37" t="s">
        <v>31</v>
      </c>
    </row>
    <row r="125" spans="1:15" ht="15" customHeight="1" x14ac:dyDescent="0.25">
      <c r="A125" s="40">
        <v>122</v>
      </c>
      <c r="B125" s="41" t="s">
        <v>23</v>
      </c>
      <c r="C125" s="40" t="s">
        <v>118</v>
      </c>
      <c r="D125" s="40" t="s">
        <v>19</v>
      </c>
      <c r="E125" s="40" t="s">
        <v>165</v>
      </c>
      <c r="F125" s="40" t="s">
        <v>312</v>
      </c>
      <c r="G125" s="40"/>
      <c r="H125" s="40" t="str">
        <f t="shared" si="16"/>
        <v/>
      </c>
      <c r="I125" s="40" t="str">
        <f t="shared" si="17"/>
        <v>In Progress</v>
      </c>
      <c r="J125" s="40" t="s">
        <v>116</v>
      </c>
      <c r="K125" s="40" t="s">
        <v>51</v>
      </c>
      <c r="L125" s="40" t="s">
        <v>124</v>
      </c>
      <c r="M125" s="40" t="str">
        <f t="shared" si="18"/>
        <v/>
      </c>
      <c r="N125" s="42" t="str">
        <f t="shared" si="19"/>
        <v/>
      </c>
      <c r="O125" s="40" t="s">
        <v>31</v>
      </c>
    </row>
    <row r="126" spans="1:15" ht="15" customHeight="1" x14ac:dyDescent="0.25">
      <c r="A126" s="37">
        <v>123</v>
      </c>
      <c r="B126" s="38" t="s">
        <v>28</v>
      </c>
      <c r="C126" s="37" t="s">
        <v>190</v>
      </c>
      <c r="D126" s="37" t="s">
        <v>246</v>
      </c>
      <c r="E126" s="37" t="s">
        <v>30</v>
      </c>
      <c r="F126" s="37" t="s">
        <v>236</v>
      </c>
      <c r="G126" s="37"/>
      <c r="H126" s="37" t="str">
        <f t="shared" si="16"/>
        <v/>
      </c>
      <c r="I126" s="37" t="str">
        <f t="shared" si="17"/>
        <v>In Progress</v>
      </c>
      <c r="J126" s="37" t="s">
        <v>162</v>
      </c>
      <c r="K126" s="37" t="s">
        <v>159</v>
      </c>
      <c r="L126" s="37" t="s">
        <v>152</v>
      </c>
      <c r="M126" s="37" t="str">
        <f t="shared" si="18"/>
        <v/>
      </c>
      <c r="N126" s="39" t="str">
        <f t="shared" si="19"/>
        <v/>
      </c>
      <c r="O126" s="37" t="s">
        <v>55</v>
      </c>
    </row>
    <row r="127" spans="1:15" ht="15" customHeight="1" x14ac:dyDescent="0.25">
      <c r="A127" s="40">
        <v>124</v>
      </c>
      <c r="B127" s="41" t="s">
        <v>32</v>
      </c>
      <c r="C127" s="40" t="s">
        <v>211</v>
      </c>
      <c r="D127" s="40" t="s">
        <v>185</v>
      </c>
      <c r="E127" s="40" t="s">
        <v>241</v>
      </c>
      <c r="F127" s="40" t="s">
        <v>286</v>
      </c>
      <c r="G127" s="40"/>
      <c r="H127" s="40" t="str">
        <f t="shared" si="16"/>
        <v/>
      </c>
      <c r="I127" s="40" t="str">
        <f t="shared" si="17"/>
        <v>In Progress</v>
      </c>
      <c r="J127" s="40" t="s">
        <v>200</v>
      </c>
      <c r="K127" s="40" t="s">
        <v>151</v>
      </c>
      <c r="L127" s="40" t="s">
        <v>144</v>
      </c>
      <c r="M127" s="40" t="str">
        <f t="shared" si="18"/>
        <v/>
      </c>
      <c r="N127" s="42" t="str">
        <f t="shared" si="19"/>
        <v/>
      </c>
      <c r="O127" s="40" t="s">
        <v>214</v>
      </c>
    </row>
    <row r="128" spans="1:15" ht="15" customHeight="1" x14ac:dyDescent="0.25">
      <c r="A128" s="37">
        <v>125</v>
      </c>
      <c r="B128" s="38" t="s">
        <v>36</v>
      </c>
      <c r="C128" s="37" t="s">
        <v>194</v>
      </c>
      <c r="D128" s="37" t="s">
        <v>220</v>
      </c>
      <c r="E128" s="37" t="s">
        <v>38</v>
      </c>
      <c r="F128" s="37" t="s">
        <v>313</v>
      </c>
      <c r="G128" s="37"/>
      <c r="H128" s="37" t="str">
        <f t="shared" si="16"/>
        <v/>
      </c>
      <c r="I128" s="37" t="str">
        <f t="shared" si="17"/>
        <v>In Progress</v>
      </c>
      <c r="J128" s="37" t="s">
        <v>231</v>
      </c>
      <c r="K128" s="37" t="s">
        <v>134</v>
      </c>
      <c r="L128" s="37" t="s">
        <v>124</v>
      </c>
      <c r="M128" s="37" t="str">
        <f t="shared" si="18"/>
        <v/>
      </c>
      <c r="N128" s="39" t="str">
        <f t="shared" si="19"/>
        <v/>
      </c>
      <c r="O128" s="37" t="s">
        <v>31</v>
      </c>
    </row>
    <row r="129" spans="1:15" ht="15" customHeight="1" x14ac:dyDescent="0.25">
      <c r="A129" s="40">
        <v>126</v>
      </c>
      <c r="B129" s="41" t="s">
        <v>39</v>
      </c>
      <c r="C129" s="40" t="s">
        <v>139</v>
      </c>
      <c r="D129" s="40" t="s">
        <v>56</v>
      </c>
      <c r="E129" s="40" t="s">
        <v>196</v>
      </c>
      <c r="F129" s="40" t="s">
        <v>314</v>
      </c>
      <c r="G129" s="40"/>
      <c r="H129" s="40" t="str">
        <f t="shared" si="16"/>
        <v/>
      </c>
      <c r="I129" s="40" t="str">
        <f t="shared" si="17"/>
        <v>In Progress</v>
      </c>
      <c r="J129" s="40" t="s">
        <v>182</v>
      </c>
      <c r="K129" s="40" t="s">
        <v>134</v>
      </c>
      <c r="L129" s="40" t="s">
        <v>144</v>
      </c>
      <c r="M129" s="40" t="str">
        <f t="shared" si="18"/>
        <v/>
      </c>
      <c r="N129" s="42" t="str">
        <f t="shared" si="19"/>
        <v/>
      </c>
      <c r="O129" s="40" t="s">
        <v>55</v>
      </c>
    </row>
    <row r="130" spans="1:15" ht="15" customHeight="1" x14ac:dyDescent="0.25">
      <c r="A130" s="37">
        <v>127</v>
      </c>
      <c r="B130" s="38" t="s">
        <v>40</v>
      </c>
      <c r="C130" s="37" t="s">
        <v>29</v>
      </c>
      <c r="D130" s="37" t="s">
        <v>130</v>
      </c>
      <c r="E130" s="37" t="s">
        <v>26</v>
      </c>
      <c r="F130" s="37" t="s">
        <v>315</v>
      </c>
      <c r="G130" s="37"/>
      <c r="H130" s="37" t="str">
        <f t="shared" si="16"/>
        <v/>
      </c>
      <c r="I130" s="37" t="str">
        <f t="shared" si="17"/>
        <v>In Progress</v>
      </c>
      <c r="J130" s="37" t="s">
        <v>253</v>
      </c>
      <c r="K130" s="37" t="s">
        <v>123</v>
      </c>
      <c r="L130" s="37" t="s">
        <v>117</v>
      </c>
      <c r="M130" s="37" t="str">
        <f t="shared" si="18"/>
        <v/>
      </c>
      <c r="N130" s="39" t="str">
        <f t="shared" si="19"/>
        <v/>
      </c>
      <c r="O130" s="37" t="s">
        <v>214</v>
      </c>
    </row>
    <row r="131" spans="1:15" ht="15" customHeight="1" x14ac:dyDescent="0.25">
      <c r="A131" s="40">
        <v>128</v>
      </c>
      <c r="B131" s="41" t="s">
        <v>42</v>
      </c>
      <c r="C131" s="40" t="s">
        <v>211</v>
      </c>
      <c r="D131" s="40" t="s">
        <v>283</v>
      </c>
      <c r="E131" s="40" t="s">
        <v>30</v>
      </c>
      <c r="F131" s="40" t="s">
        <v>316</v>
      </c>
      <c r="G131" s="40"/>
      <c r="H131" s="40" t="str">
        <f t="shared" si="16"/>
        <v/>
      </c>
      <c r="I131" s="40" t="str">
        <f t="shared" si="17"/>
        <v>In Progress</v>
      </c>
      <c r="J131" s="40" t="s">
        <v>158</v>
      </c>
      <c r="K131" s="40" t="s">
        <v>27</v>
      </c>
      <c r="L131" s="40" t="s">
        <v>135</v>
      </c>
      <c r="M131" s="40" t="str">
        <f t="shared" si="18"/>
        <v/>
      </c>
      <c r="N131" s="42" t="str">
        <f t="shared" si="19"/>
        <v/>
      </c>
      <c r="O131" s="40" t="s">
        <v>59</v>
      </c>
    </row>
    <row r="132" spans="1:15" ht="15" customHeight="1" x14ac:dyDescent="0.25">
      <c r="A132" s="37">
        <v>129</v>
      </c>
      <c r="B132" s="38" t="s">
        <v>44</v>
      </c>
      <c r="C132" s="37" t="s">
        <v>148</v>
      </c>
      <c r="D132" s="37" t="s">
        <v>317</v>
      </c>
      <c r="E132" s="37" t="s">
        <v>131</v>
      </c>
      <c r="F132" s="37" t="s">
        <v>318</v>
      </c>
      <c r="G132" s="37"/>
      <c r="H132" s="37" t="str">
        <f t="shared" si="16"/>
        <v/>
      </c>
      <c r="I132" s="37" t="str">
        <f t="shared" si="17"/>
        <v>In Progress</v>
      </c>
      <c r="J132" s="37" t="s">
        <v>231</v>
      </c>
      <c r="K132" s="37" t="s">
        <v>173</v>
      </c>
      <c r="L132" s="37" t="s">
        <v>152</v>
      </c>
      <c r="M132" s="37" t="str">
        <f t="shared" si="18"/>
        <v/>
      </c>
      <c r="N132" s="39" t="str">
        <f t="shared" si="19"/>
        <v/>
      </c>
      <c r="O132" s="37" t="s">
        <v>31</v>
      </c>
    </row>
    <row r="133" spans="1:15" ht="15" customHeight="1" x14ac:dyDescent="0.25">
      <c r="A133" s="40">
        <v>130</v>
      </c>
      <c r="B133" s="41" t="s">
        <v>46</v>
      </c>
      <c r="C133" s="40" t="s">
        <v>24</v>
      </c>
      <c r="D133" s="40" t="s">
        <v>48</v>
      </c>
      <c r="E133" s="40" t="s">
        <v>38</v>
      </c>
      <c r="F133" s="40" t="s">
        <v>319</v>
      </c>
      <c r="G133" s="40"/>
      <c r="H133" s="40" t="str">
        <f t="shared" si="16"/>
        <v/>
      </c>
      <c r="I133" s="40" t="str">
        <f t="shared" si="17"/>
        <v>In Progress</v>
      </c>
      <c r="J133" s="40" t="s">
        <v>143</v>
      </c>
      <c r="K133" s="40" t="s">
        <v>134</v>
      </c>
      <c r="L133" s="40" t="s">
        <v>144</v>
      </c>
      <c r="M133" s="40" t="str">
        <f t="shared" si="18"/>
        <v/>
      </c>
      <c r="N133" s="42" t="str">
        <f t="shared" si="19"/>
        <v/>
      </c>
      <c r="O133" s="40" t="s">
        <v>163</v>
      </c>
    </row>
    <row r="134" spans="1:15" ht="15" customHeight="1" x14ac:dyDescent="0.25">
      <c r="A134" s="37">
        <v>131</v>
      </c>
      <c r="B134" s="38" t="s">
        <v>17</v>
      </c>
      <c r="C134" s="37" t="s">
        <v>209</v>
      </c>
      <c r="D134" s="37" t="s">
        <v>60</v>
      </c>
      <c r="E134" s="37" t="s">
        <v>141</v>
      </c>
      <c r="F134" s="37" t="s">
        <v>261</v>
      </c>
      <c r="G134" s="37"/>
      <c r="H134" s="37" t="str">
        <f t="shared" si="16"/>
        <v/>
      </c>
      <c r="I134" s="37" t="str">
        <f t="shared" si="17"/>
        <v>In Progress</v>
      </c>
      <c r="J134" s="37" t="s">
        <v>270</v>
      </c>
      <c r="K134" s="37" t="s">
        <v>123</v>
      </c>
      <c r="L134" s="37" t="s">
        <v>117</v>
      </c>
      <c r="M134" s="37" t="str">
        <f t="shared" si="18"/>
        <v/>
      </c>
      <c r="N134" s="39" t="str">
        <f t="shared" si="19"/>
        <v/>
      </c>
      <c r="O134" s="37" t="s">
        <v>214</v>
      </c>
    </row>
    <row r="135" spans="1:15" ht="15" customHeight="1" x14ac:dyDescent="0.25">
      <c r="A135" s="40">
        <v>132</v>
      </c>
      <c r="B135" s="41" t="s">
        <v>23</v>
      </c>
      <c r="C135" s="40" t="s">
        <v>129</v>
      </c>
      <c r="D135" s="40" t="s">
        <v>203</v>
      </c>
      <c r="E135" s="40" t="s">
        <v>165</v>
      </c>
      <c r="F135" s="40" t="s">
        <v>320</v>
      </c>
      <c r="G135" s="40"/>
      <c r="H135" s="40" t="str">
        <f t="shared" si="16"/>
        <v/>
      </c>
      <c r="I135" s="40" t="str">
        <f t="shared" si="17"/>
        <v>In Progress</v>
      </c>
      <c r="J135" s="40" t="s">
        <v>294</v>
      </c>
      <c r="K135" s="40" t="s">
        <v>123</v>
      </c>
      <c r="L135" s="40" t="s">
        <v>152</v>
      </c>
      <c r="M135" s="40" t="str">
        <f t="shared" si="18"/>
        <v/>
      </c>
      <c r="N135" s="42" t="str">
        <f t="shared" si="19"/>
        <v/>
      </c>
      <c r="O135" s="40" t="s">
        <v>49</v>
      </c>
    </row>
    <row r="136" spans="1:15" ht="15" customHeight="1" x14ac:dyDescent="0.25">
      <c r="A136" s="37">
        <v>133</v>
      </c>
      <c r="B136" s="38" t="s">
        <v>28</v>
      </c>
      <c r="C136" s="37" t="s">
        <v>18</v>
      </c>
      <c r="D136" s="37" t="s">
        <v>180</v>
      </c>
      <c r="E136" s="37" t="s">
        <v>30</v>
      </c>
      <c r="F136" s="37" t="s">
        <v>321</v>
      </c>
      <c r="G136" s="37"/>
      <c r="H136" s="37" t="str">
        <f t="shared" si="16"/>
        <v/>
      </c>
      <c r="I136" s="37" t="str">
        <f t="shared" si="17"/>
        <v>In Progress</v>
      </c>
      <c r="J136" s="37" t="s">
        <v>225</v>
      </c>
      <c r="K136" s="37" t="s">
        <v>201</v>
      </c>
      <c r="L136" s="37" t="s">
        <v>124</v>
      </c>
      <c r="M136" s="37" t="str">
        <f t="shared" si="18"/>
        <v/>
      </c>
      <c r="N136" s="39" t="str">
        <f t="shared" si="19"/>
        <v/>
      </c>
      <c r="O136" s="37" t="s">
        <v>55</v>
      </c>
    </row>
    <row r="137" spans="1:15" ht="15" customHeight="1" x14ac:dyDescent="0.25">
      <c r="A137" s="40">
        <v>134</v>
      </c>
      <c r="B137" s="41" t="s">
        <v>32</v>
      </c>
      <c r="C137" s="40" t="s">
        <v>118</v>
      </c>
      <c r="D137" s="40" t="s">
        <v>233</v>
      </c>
      <c r="E137" s="40" t="s">
        <v>131</v>
      </c>
      <c r="F137" s="40" t="s">
        <v>322</v>
      </c>
      <c r="G137" s="40"/>
      <c r="H137" s="40" t="str">
        <f t="shared" si="16"/>
        <v/>
      </c>
      <c r="I137" s="40" t="str">
        <f t="shared" si="17"/>
        <v>In Progress</v>
      </c>
      <c r="J137" s="40" t="s">
        <v>235</v>
      </c>
      <c r="K137" s="40" t="s">
        <v>128</v>
      </c>
      <c r="L137" s="40" t="s">
        <v>117</v>
      </c>
      <c r="M137" s="40" t="str">
        <f t="shared" si="18"/>
        <v/>
      </c>
      <c r="N137" s="42" t="str">
        <f t="shared" si="19"/>
        <v/>
      </c>
      <c r="O137" s="40" t="s">
        <v>49</v>
      </c>
    </row>
    <row r="138" spans="1:15" ht="15" customHeight="1" x14ac:dyDescent="0.25">
      <c r="A138" s="37">
        <v>135</v>
      </c>
      <c r="B138" s="38" t="s">
        <v>36</v>
      </c>
      <c r="C138" s="37" t="s">
        <v>29</v>
      </c>
      <c r="D138" s="37" t="s">
        <v>53</v>
      </c>
      <c r="E138" s="37" t="s">
        <v>156</v>
      </c>
      <c r="F138" s="37" t="s">
        <v>323</v>
      </c>
      <c r="G138" s="37"/>
      <c r="H138" s="37" t="str">
        <f t="shared" si="16"/>
        <v/>
      </c>
      <c r="I138" s="37" t="str">
        <f t="shared" si="17"/>
        <v>In Progress</v>
      </c>
      <c r="J138" s="37" t="s">
        <v>162</v>
      </c>
      <c r="K138" s="37" t="s">
        <v>51</v>
      </c>
      <c r="L138" s="37" t="s">
        <v>138</v>
      </c>
      <c r="M138" s="37" t="str">
        <f t="shared" si="18"/>
        <v/>
      </c>
      <c r="N138" s="39" t="str">
        <f t="shared" si="19"/>
        <v/>
      </c>
      <c r="O138" s="37" t="s">
        <v>55</v>
      </c>
    </row>
    <row r="139" spans="1:15" ht="15" customHeight="1" x14ac:dyDescent="0.25">
      <c r="A139" s="40">
        <v>136</v>
      </c>
      <c r="B139" s="41" t="s">
        <v>39</v>
      </c>
      <c r="C139" s="40" t="s">
        <v>211</v>
      </c>
      <c r="D139" s="40" t="s">
        <v>25</v>
      </c>
      <c r="E139" s="40" t="s">
        <v>196</v>
      </c>
      <c r="F139" s="40" t="s">
        <v>324</v>
      </c>
      <c r="G139" s="40"/>
      <c r="H139" s="40" t="str">
        <f t="shared" si="16"/>
        <v/>
      </c>
      <c r="I139" s="40" t="str">
        <f t="shared" si="17"/>
        <v>In Progress</v>
      </c>
      <c r="J139" s="40" t="s">
        <v>290</v>
      </c>
      <c r="K139" s="40" t="s">
        <v>187</v>
      </c>
      <c r="L139" s="40" t="s">
        <v>147</v>
      </c>
      <c r="M139" s="40" t="str">
        <f t="shared" si="18"/>
        <v/>
      </c>
      <c r="N139" s="42" t="str">
        <f t="shared" si="19"/>
        <v/>
      </c>
      <c r="O139" s="40" t="s">
        <v>55</v>
      </c>
    </row>
    <row r="140" spans="1:15" ht="15" customHeight="1" x14ac:dyDescent="0.25">
      <c r="A140" s="37">
        <v>137</v>
      </c>
      <c r="B140" s="38" t="s">
        <v>40</v>
      </c>
      <c r="C140" s="37" t="s">
        <v>18</v>
      </c>
      <c r="D140" s="37" t="s">
        <v>325</v>
      </c>
      <c r="E140" s="37" t="s">
        <v>120</v>
      </c>
      <c r="F140" s="37" t="s">
        <v>312</v>
      </c>
      <c r="G140" s="37"/>
      <c r="H140" s="37" t="str">
        <f t="shared" si="16"/>
        <v/>
      </c>
      <c r="I140" s="37" t="str">
        <f t="shared" si="17"/>
        <v>In Progress</v>
      </c>
      <c r="J140" s="37" t="s">
        <v>290</v>
      </c>
      <c r="K140" s="37" t="s">
        <v>173</v>
      </c>
      <c r="L140" s="37" t="s">
        <v>147</v>
      </c>
      <c r="M140" s="37" t="str">
        <f t="shared" si="18"/>
        <v/>
      </c>
      <c r="N140" s="39" t="str">
        <f t="shared" si="19"/>
        <v/>
      </c>
      <c r="O140" s="37" t="s">
        <v>31</v>
      </c>
    </row>
    <row r="141" spans="1:15" ht="15" customHeight="1" x14ac:dyDescent="0.25">
      <c r="A141" s="40">
        <v>138</v>
      </c>
      <c r="B141" s="41" t="s">
        <v>42</v>
      </c>
      <c r="C141" s="40" t="s">
        <v>24</v>
      </c>
      <c r="D141" s="40" t="s">
        <v>25</v>
      </c>
      <c r="E141" s="40" t="s">
        <v>170</v>
      </c>
      <c r="F141" s="40" t="s">
        <v>326</v>
      </c>
      <c r="G141" s="40"/>
      <c r="H141" s="40" t="str">
        <f t="shared" si="16"/>
        <v/>
      </c>
      <c r="I141" s="40" t="str">
        <f t="shared" si="17"/>
        <v>In Progress</v>
      </c>
      <c r="J141" s="40" t="s">
        <v>290</v>
      </c>
      <c r="K141" s="40" t="s">
        <v>187</v>
      </c>
      <c r="L141" s="40" t="s">
        <v>135</v>
      </c>
      <c r="M141" s="40" t="str">
        <f t="shared" si="18"/>
        <v/>
      </c>
      <c r="N141" s="42" t="str">
        <f t="shared" si="19"/>
        <v/>
      </c>
      <c r="O141" s="40" t="s">
        <v>31</v>
      </c>
    </row>
    <row r="142" spans="1:15" ht="15" customHeight="1" x14ac:dyDescent="0.25">
      <c r="A142" s="37">
        <v>139</v>
      </c>
      <c r="B142" s="38" t="s">
        <v>44</v>
      </c>
      <c r="C142" s="37" t="s">
        <v>209</v>
      </c>
      <c r="D142" s="37" t="s">
        <v>266</v>
      </c>
      <c r="E142" s="37" t="s">
        <v>34</v>
      </c>
      <c r="F142" s="37" t="s">
        <v>320</v>
      </c>
      <c r="G142" s="37"/>
      <c r="H142" s="37" t="str">
        <f t="shared" si="16"/>
        <v/>
      </c>
      <c r="I142" s="37" t="str">
        <f t="shared" si="17"/>
        <v>In Progress</v>
      </c>
      <c r="J142" s="37" t="s">
        <v>162</v>
      </c>
      <c r="K142" s="37" t="s">
        <v>159</v>
      </c>
      <c r="L142" s="37" t="s">
        <v>117</v>
      </c>
      <c r="M142" s="37" t="str">
        <f t="shared" si="18"/>
        <v/>
      </c>
      <c r="N142" s="39" t="str">
        <f t="shared" si="19"/>
        <v/>
      </c>
      <c r="O142" s="37" t="s">
        <v>163</v>
      </c>
    </row>
    <row r="143" spans="1:15" ht="15" customHeight="1" x14ac:dyDescent="0.25">
      <c r="A143" s="40">
        <v>140</v>
      </c>
      <c r="B143" s="41" t="s">
        <v>46</v>
      </c>
      <c r="C143" s="40" t="s">
        <v>164</v>
      </c>
      <c r="D143" s="40" t="s">
        <v>41</v>
      </c>
      <c r="E143" s="40" t="s">
        <v>156</v>
      </c>
      <c r="F143" s="40" t="s">
        <v>186</v>
      </c>
      <c r="G143" s="40"/>
      <c r="H143" s="40" t="str">
        <f t="shared" si="16"/>
        <v/>
      </c>
      <c r="I143" s="40" t="str">
        <f t="shared" si="17"/>
        <v>In Progress</v>
      </c>
      <c r="J143" s="40" t="s">
        <v>294</v>
      </c>
      <c r="K143" s="40" t="s">
        <v>201</v>
      </c>
      <c r="L143" s="40" t="s">
        <v>144</v>
      </c>
      <c r="M143" s="40" t="str">
        <f t="shared" si="18"/>
        <v/>
      </c>
      <c r="N143" s="42" t="str">
        <f t="shared" si="19"/>
        <v/>
      </c>
      <c r="O143" s="40" t="s">
        <v>31</v>
      </c>
    </row>
    <row r="144" spans="1:15" ht="15" customHeight="1" x14ac:dyDescent="0.25">
      <c r="A144" s="37">
        <v>141</v>
      </c>
      <c r="B144" s="38" t="s">
        <v>17</v>
      </c>
      <c r="C144" s="37" t="s">
        <v>114</v>
      </c>
      <c r="D144" s="37" t="s">
        <v>198</v>
      </c>
      <c r="E144" s="37" t="s">
        <v>141</v>
      </c>
      <c r="F144" s="37" t="s">
        <v>327</v>
      </c>
      <c r="G144" s="37"/>
      <c r="H144" s="37" t="str">
        <f t="shared" si="16"/>
        <v/>
      </c>
      <c r="I144" s="37" t="str">
        <f t="shared" si="17"/>
        <v>In Progress</v>
      </c>
      <c r="J144" s="37" t="s">
        <v>200</v>
      </c>
      <c r="K144" s="37" t="s">
        <v>128</v>
      </c>
      <c r="L144" s="37" t="s">
        <v>117</v>
      </c>
      <c r="M144" s="37" t="str">
        <f t="shared" si="18"/>
        <v/>
      </c>
      <c r="N144" s="39" t="str">
        <f t="shared" si="19"/>
        <v/>
      </c>
      <c r="O144" s="37" t="s">
        <v>35</v>
      </c>
    </row>
    <row r="145" spans="1:15" ht="15" customHeight="1" x14ac:dyDescent="0.25">
      <c r="A145" s="40">
        <v>142</v>
      </c>
      <c r="B145" s="41" t="s">
        <v>23</v>
      </c>
      <c r="C145" s="40" t="s">
        <v>139</v>
      </c>
      <c r="D145" s="40" t="s">
        <v>229</v>
      </c>
      <c r="E145" s="40" t="s">
        <v>165</v>
      </c>
      <c r="F145" s="40" t="s">
        <v>166</v>
      </c>
      <c r="G145" s="40"/>
      <c r="H145" s="40" t="str">
        <f t="shared" si="16"/>
        <v/>
      </c>
      <c r="I145" s="40" t="str">
        <f t="shared" si="17"/>
        <v>Completed</v>
      </c>
      <c r="J145" s="40" t="s">
        <v>172</v>
      </c>
      <c r="K145" s="40" t="s">
        <v>27</v>
      </c>
      <c r="L145" s="40" t="s">
        <v>135</v>
      </c>
      <c r="M145" s="40" t="str">
        <f t="shared" si="18"/>
        <v/>
      </c>
      <c r="N145" s="42" t="str">
        <f t="shared" si="19"/>
        <v/>
      </c>
      <c r="O145" s="40" t="s">
        <v>31</v>
      </c>
    </row>
    <row r="146" spans="1:15" ht="15" customHeight="1" x14ac:dyDescent="0.25">
      <c r="A146" s="37">
        <v>143</v>
      </c>
      <c r="B146" s="38" t="s">
        <v>28</v>
      </c>
      <c r="C146" s="37" t="s">
        <v>29</v>
      </c>
      <c r="D146" s="37" t="s">
        <v>48</v>
      </c>
      <c r="E146" s="37" t="s">
        <v>170</v>
      </c>
      <c r="F146" s="37" t="s">
        <v>259</v>
      </c>
      <c r="G146" s="37"/>
      <c r="H146" s="37" t="str">
        <f t="shared" ref="H146:H153" si="20">IF(OR(F146="",G146=""),"",G146-F146)</f>
        <v/>
      </c>
      <c r="I146" s="37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37" t="s">
        <v>217</v>
      </c>
      <c r="K146" s="37" t="s">
        <v>159</v>
      </c>
      <c r="L146" s="37" t="s">
        <v>138</v>
      </c>
      <c r="M146" s="37" t="str">
        <f t="shared" ref="M146:M153" si="22">IF(H146="","",H146*8)</f>
        <v/>
      </c>
      <c r="N146" s="39" t="str">
        <f t="shared" ref="N146:N153" si="23">IF(OR(L146="",H146=""),"",L146*H146)</f>
        <v/>
      </c>
      <c r="O146" s="37" t="s">
        <v>31</v>
      </c>
    </row>
    <row r="147" spans="1:15" ht="15" customHeight="1" x14ac:dyDescent="0.25">
      <c r="A147" s="40">
        <v>144</v>
      </c>
      <c r="B147" s="41" t="s">
        <v>32</v>
      </c>
      <c r="C147" s="40" t="s">
        <v>33</v>
      </c>
      <c r="D147" s="40" t="s">
        <v>212</v>
      </c>
      <c r="E147" s="40" t="s">
        <v>34</v>
      </c>
      <c r="F147" s="40" t="s">
        <v>328</v>
      </c>
      <c r="G147" s="40"/>
      <c r="H147" s="40" t="str">
        <f t="shared" si="20"/>
        <v/>
      </c>
      <c r="I147" s="40" t="str">
        <f t="shared" si="21"/>
        <v>In Progress</v>
      </c>
      <c r="J147" s="40" t="s">
        <v>189</v>
      </c>
      <c r="K147" s="40" t="s">
        <v>151</v>
      </c>
      <c r="L147" s="40" t="s">
        <v>117</v>
      </c>
      <c r="M147" s="40" t="str">
        <f t="shared" si="22"/>
        <v/>
      </c>
      <c r="N147" s="42" t="str">
        <f t="shared" si="23"/>
        <v/>
      </c>
      <c r="O147" s="40" t="s">
        <v>49</v>
      </c>
    </row>
    <row r="148" spans="1:15" ht="15" customHeight="1" x14ac:dyDescent="0.25">
      <c r="A148" s="37">
        <v>145</v>
      </c>
      <c r="B148" s="38" t="s">
        <v>36</v>
      </c>
      <c r="C148" s="37" t="s">
        <v>148</v>
      </c>
      <c r="D148" s="37" t="s">
        <v>329</v>
      </c>
      <c r="E148" s="37" t="s">
        <v>156</v>
      </c>
      <c r="F148" s="37" t="s">
        <v>330</v>
      </c>
      <c r="G148" s="37"/>
      <c r="H148" s="37" t="str">
        <f t="shared" si="20"/>
        <v/>
      </c>
      <c r="I148" s="37" t="str">
        <f t="shared" si="21"/>
        <v>In Progress</v>
      </c>
      <c r="J148" s="37" t="s">
        <v>162</v>
      </c>
      <c r="K148" s="37" t="s">
        <v>151</v>
      </c>
      <c r="L148" s="37" t="s">
        <v>144</v>
      </c>
      <c r="M148" s="37" t="str">
        <f t="shared" si="22"/>
        <v/>
      </c>
      <c r="N148" s="39" t="str">
        <f t="shared" si="23"/>
        <v/>
      </c>
      <c r="O148" s="37" t="s">
        <v>31</v>
      </c>
    </row>
    <row r="149" spans="1:15" ht="15" customHeight="1" x14ac:dyDescent="0.25">
      <c r="A149" s="40">
        <v>146</v>
      </c>
      <c r="B149" s="41" t="s">
        <v>39</v>
      </c>
      <c r="C149" s="40" t="s">
        <v>155</v>
      </c>
      <c r="D149" s="40" t="s">
        <v>53</v>
      </c>
      <c r="E149" s="40" t="s">
        <v>196</v>
      </c>
      <c r="F149" s="40" t="s">
        <v>193</v>
      </c>
      <c r="G149" s="40"/>
      <c r="H149" s="40" t="str">
        <f t="shared" si="20"/>
        <v/>
      </c>
      <c r="I149" s="40" t="str">
        <f t="shared" si="21"/>
        <v>In Progress</v>
      </c>
      <c r="J149" s="40" t="s">
        <v>231</v>
      </c>
      <c r="K149" s="40" t="s">
        <v>201</v>
      </c>
      <c r="L149" s="40" t="s">
        <v>144</v>
      </c>
      <c r="M149" s="40" t="str">
        <f t="shared" si="22"/>
        <v/>
      </c>
      <c r="N149" s="42" t="str">
        <f t="shared" si="23"/>
        <v/>
      </c>
      <c r="O149" s="40" t="s">
        <v>55</v>
      </c>
    </row>
    <row r="150" spans="1:15" ht="15" customHeight="1" x14ac:dyDescent="0.25">
      <c r="A150" s="37">
        <v>147</v>
      </c>
      <c r="B150" s="38" t="s">
        <v>40</v>
      </c>
      <c r="C150" s="37" t="s">
        <v>209</v>
      </c>
      <c r="D150" s="37" t="s">
        <v>48</v>
      </c>
      <c r="E150" s="37" t="s">
        <v>26</v>
      </c>
      <c r="F150" s="37" t="s">
        <v>318</v>
      </c>
      <c r="G150" s="37"/>
      <c r="H150" s="37" t="str">
        <f t="shared" si="20"/>
        <v/>
      </c>
      <c r="I150" s="37" t="str">
        <f t="shared" si="21"/>
        <v>In Progress</v>
      </c>
      <c r="J150" s="37" t="s">
        <v>189</v>
      </c>
      <c r="K150" s="37" t="s">
        <v>51</v>
      </c>
      <c r="L150" s="37" t="s">
        <v>135</v>
      </c>
      <c r="M150" s="37" t="str">
        <f t="shared" si="22"/>
        <v/>
      </c>
      <c r="N150" s="39" t="str">
        <f t="shared" si="23"/>
        <v/>
      </c>
      <c r="O150" s="37" t="s">
        <v>31</v>
      </c>
    </row>
    <row r="151" spans="1:15" ht="15" customHeight="1" x14ac:dyDescent="0.25">
      <c r="A151" s="40">
        <v>148</v>
      </c>
      <c r="B151" s="41" t="s">
        <v>42</v>
      </c>
      <c r="C151" s="40" t="s">
        <v>164</v>
      </c>
      <c r="D151" s="40" t="s">
        <v>237</v>
      </c>
      <c r="E151" s="40" t="s">
        <v>30</v>
      </c>
      <c r="F151" s="40" t="s">
        <v>126</v>
      </c>
      <c r="G151" s="40"/>
      <c r="H151" s="40" t="str">
        <f t="shared" si="20"/>
        <v/>
      </c>
      <c r="I151" s="40" t="str">
        <f t="shared" si="21"/>
        <v>Completed</v>
      </c>
      <c r="J151" s="40" t="s">
        <v>172</v>
      </c>
      <c r="K151" s="40" t="s">
        <v>151</v>
      </c>
      <c r="L151" s="40" t="s">
        <v>147</v>
      </c>
      <c r="M151" s="40" t="str">
        <f t="shared" si="22"/>
        <v/>
      </c>
      <c r="N151" s="42" t="str">
        <f t="shared" si="23"/>
        <v/>
      </c>
      <c r="O151" s="40" t="s">
        <v>153</v>
      </c>
    </row>
    <row r="152" spans="1:15" ht="15" customHeight="1" x14ac:dyDescent="0.25">
      <c r="A152" s="37">
        <v>149</v>
      </c>
      <c r="B152" s="38" t="s">
        <v>44</v>
      </c>
      <c r="C152" s="37" t="s">
        <v>18</v>
      </c>
      <c r="D152" s="37" t="s">
        <v>203</v>
      </c>
      <c r="E152" s="37" t="s">
        <v>131</v>
      </c>
      <c r="F152" s="37" t="s">
        <v>193</v>
      </c>
      <c r="G152" s="37"/>
      <c r="H152" s="37" t="str">
        <f t="shared" si="20"/>
        <v/>
      </c>
      <c r="I152" s="37" t="str">
        <f t="shared" si="21"/>
        <v>Not Started</v>
      </c>
      <c r="J152" s="37" t="s">
        <v>176</v>
      </c>
      <c r="K152" s="37" t="s">
        <v>43</v>
      </c>
      <c r="L152" s="37" t="s">
        <v>124</v>
      </c>
      <c r="M152" s="37" t="str">
        <f t="shared" si="22"/>
        <v/>
      </c>
      <c r="N152" s="39" t="str">
        <f t="shared" si="23"/>
        <v/>
      </c>
      <c r="O152" s="37" t="s">
        <v>35</v>
      </c>
    </row>
    <row r="153" spans="1:15" ht="15" customHeight="1" x14ac:dyDescent="0.25">
      <c r="A153" s="40">
        <v>150</v>
      </c>
      <c r="B153" s="41" t="s">
        <v>46</v>
      </c>
      <c r="C153" s="40" t="s">
        <v>139</v>
      </c>
      <c r="D153" s="40" t="s">
        <v>331</v>
      </c>
      <c r="E153" s="40" t="s">
        <v>156</v>
      </c>
      <c r="F153" s="40" t="s">
        <v>301</v>
      </c>
      <c r="G153" s="40"/>
      <c r="H153" s="40" t="str">
        <f t="shared" si="20"/>
        <v/>
      </c>
      <c r="I153" s="40" t="str">
        <f t="shared" si="21"/>
        <v>Not Started</v>
      </c>
      <c r="J153" s="40" t="s">
        <v>133</v>
      </c>
      <c r="K153" s="40" t="s">
        <v>187</v>
      </c>
      <c r="L153" s="40" t="s">
        <v>135</v>
      </c>
      <c r="M153" s="40" t="str">
        <f t="shared" si="22"/>
        <v/>
      </c>
      <c r="N153" s="42" t="str">
        <f t="shared" si="23"/>
        <v/>
      </c>
      <c r="O153" s="40" t="s">
        <v>59</v>
      </c>
    </row>
  </sheetData>
  <autoFilter ref="A3:O153" xr:uid="{00000000-0009-0000-0000-000001000000}"/>
  <mergeCells count="1">
    <mergeCell ref="A1:O1"/>
  </mergeCells>
  <hyperlinks>
    <hyperlink ref="O2" location="'Project Overview'!A1" display="← Back to Project Overview" xr:uid="{00000000-0004-0000-01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3"/>
  <sheetViews>
    <sheetView zoomScaleNormal="100" workbookViewId="0">
      <pane ySplit="3" topLeftCell="A17" activePane="bottomLeft" state="frozen"/>
      <selection sqref="A1:P1"/>
      <selection pane="bottomLeft" sqref="A1:P1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180" t="s">
        <v>466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</row>
    <row r="2" spans="1:18" ht="15" customHeight="1" x14ac:dyDescent="0.25">
      <c r="P2" s="160" t="s">
        <v>0</v>
      </c>
    </row>
    <row r="3" spans="1:18" ht="31.5" customHeight="1" x14ac:dyDescent="0.25">
      <c r="A3" s="36" t="s">
        <v>1</v>
      </c>
      <c r="B3" s="36" t="s">
        <v>2</v>
      </c>
      <c r="C3" s="36" t="s">
        <v>3</v>
      </c>
      <c r="D3" s="36" t="s">
        <v>4</v>
      </c>
      <c r="E3" s="36" t="s">
        <v>5</v>
      </c>
      <c r="F3" s="36" t="s">
        <v>6</v>
      </c>
      <c r="G3" s="36" t="s">
        <v>7</v>
      </c>
      <c r="H3" s="36" t="s">
        <v>8</v>
      </c>
      <c r="I3" s="36" t="s">
        <v>9</v>
      </c>
      <c r="J3" s="36" t="s">
        <v>10</v>
      </c>
      <c r="K3" s="36" t="s">
        <v>11</v>
      </c>
      <c r="L3" s="36" t="s">
        <v>12</v>
      </c>
      <c r="M3" s="36" t="s">
        <v>13</v>
      </c>
      <c r="N3" s="36" t="s">
        <v>14</v>
      </c>
      <c r="O3" s="36" t="s">
        <v>15</v>
      </c>
      <c r="P3" s="36" t="s">
        <v>16</v>
      </c>
      <c r="Q3" s="36"/>
      <c r="R3" s="36"/>
    </row>
    <row r="4" spans="1:18" ht="15" customHeight="1" x14ac:dyDescent="0.25">
      <c r="A4" s="43">
        <v>1</v>
      </c>
      <c r="B4" s="44" t="s">
        <v>17</v>
      </c>
      <c r="C4" s="43" t="s">
        <v>18</v>
      </c>
      <c r="D4" s="43" t="s">
        <v>19</v>
      </c>
      <c r="E4" s="43" t="s">
        <v>20</v>
      </c>
      <c r="F4" s="45">
        <v>45375</v>
      </c>
      <c r="G4" s="45">
        <v>45385</v>
      </c>
      <c r="H4" s="43">
        <f t="shared" ref="H4:H35" si="0">IF(OR(F4="",G4=""),"",G4-F4)</f>
        <v>10</v>
      </c>
      <c r="I4" s="43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46">
        <v>1</v>
      </c>
      <c r="K4" s="43" t="s">
        <v>21</v>
      </c>
      <c r="L4" s="47">
        <v>2000</v>
      </c>
      <c r="M4" s="43">
        <v>140</v>
      </c>
      <c r="N4" s="47">
        <f t="shared" ref="N4:N35" si="2">IF(OR(L4="",H4=""),"",L4*H4)</f>
        <v>20000</v>
      </c>
      <c r="O4" s="43" t="s">
        <v>22</v>
      </c>
      <c r="P4" s="43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43"/>
      <c r="R4" s="43"/>
    </row>
    <row r="5" spans="1:18" ht="15" customHeight="1" x14ac:dyDescent="0.25">
      <c r="A5" s="48">
        <v>2</v>
      </c>
      <c r="B5" s="49" t="s">
        <v>23</v>
      </c>
      <c r="C5" s="48" t="s">
        <v>24</v>
      </c>
      <c r="D5" s="48" t="s">
        <v>25</v>
      </c>
      <c r="E5" s="48" t="s">
        <v>26</v>
      </c>
      <c r="F5" s="50">
        <v>45420</v>
      </c>
      <c r="G5" s="50">
        <v>45427</v>
      </c>
      <c r="H5" s="48">
        <f t="shared" si="0"/>
        <v>7</v>
      </c>
      <c r="I5" s="48" t="str">
        <f t="shared" si="1"/>
        <v>In Progress</v>
      </c>
      <c r="J5" s="51">
        <v>1</v>
      </c>
      <c r="K5" s="48" t="s">
        <v>27</v>
      </c>
      <c r="L5" s="52">
        <v>4000</v>
      </c>
      <c r="M5" s="48">
        <v>100</v>
      </c>
      <c r="N5" s="52">
        <f t="shared" si="2"/>
        <v>28000</v>
      </c>
      <c r="O5" s="48" t="s">
        <v>22</v>
      </c>
      <c r="P5" s="48" t="str">
        <f t="shared" si="3"/>
        <v>In Progress</v>
      </c>
      <c r="Q5" s="48"/>
      <c r="R5" s="48"/>
    </row>
    <row r="6" spans="1:18" ht="15" customHeight="1" x14ac:dyDescent="0.25">
      <c r="A6" s="48">
        <v>3</v>
      </c>
      <c r="B6" s="49" t="s">
        <v>28</v>
      </c>
      <c r="C6" s="48" t="s">
        <v>29</v>
      </c>
      <c r="D6" s="48" t="s">
        <v>25</v>
      </c>
      <c r="E6" s="48" t="s">
        <v>30</v>
      </c>
      <c r="F6" s="50">
        <v>45338</v>
      </c>
      <c r="G6" s="50">
        <v>45350</v>
      </c>
      <c r="H6" s="48">
        <f t="shared" si="0"/>
        <v>12</v>
      </c>
      <c r="I6" s="48" t="str">
        <f t="shared" si="1"/>
        <v>Not Started</v>
      </c>
      <c r="J6" s="51">
        <v>0</v>
      </c>
      <c r="K6" s="48" t="s">
        <v>27</v>
      </c>
      <c r="L6" s="52">
        <v>4200</v>
      </c>
      <c r="M6" s="48">
        <v>140</v>
      </c>
      <c r="N6" s="52">
        <f t="shared" si="2"/>
        <v>50400</v>
      </c>
      <c r="O6" s="48" t="s">
        <v>31</v>
      </c>
      <c r="P6" s="48" t="str">
        <f t="shared" si="3"/>
        <v>Not Started</v>
      </c>
      <c r="Q6" s="48"/>
      <c r="R6" s="48"/>
    </row>
    <row r="7" spans="1:18" ht="15" customHeight="1" x14ac:dyDescent="0.25">
      <c r="A7" s="43">
        <v>4</v>
      </c>
      <c r="B7" s="44" t="s">
        <v>32</v>
      </c>
      <c r="C7" s="43" t="s">
        <v>33</v>
      </c>
      <c r="D7" s="43" t="s">
        <v>25</v>
      </c>
      <c r="E7" s="43" t="s">
        <v>34</v>
      </c>
      <c r="F7" s="45">
        <v>45341</v>
      </c>
      <c r="G7" s="45">
        <v>45348</v>
      </c>
      <c r="H7" s="43">
        <f t="shared" si="0"/>
        <v>7</v>
      </c>
      <c r="I7" s="43" t="str">
        <f t="shared" si="1"/>
        <v>In Progress</v>
      </c>
      <c r="J7" s="46">
        <v>0.75</v>
      </c>
      <c r="K7" s="43" t="s">
        <v>21</v>
      </c>
      <c r="L7" s="47">
        <v>4200</v>
      </c>
      <c r="M7" s="43">
        <v>0</v>
      </c>
      <c r="N7" s="47">
        <f t="shared" si="2"/>
        <v>29400</v>
      </c>
      <c r="O7" s="43" t="s">
        <v>35</v>
      </c>
      <c r="P7" s="43" t="str">
        <f t="shared" si="3"/>
        <v>In Progress</v>
      </c>
      <c r="Q7" s="43"/>
      <c r="R7" s="43"/>
    </row>
    <row r="8" spans="1:18" ht="15" customHeight="1" x14ac:dyDescent="0.25">
      <c r="A8" s="48">
        <v>5</v>
      </c>
      <c r="B8" s="49" t="s">
        <v>36</v>
      </c>
      <c r="C8" s="48" t="s">
        <v>18</v>
      </c>
      <c r="D8" s="48" t="s">
        <v>37</v>
      </c>
      <c r="E8" s="48" t="s">
        <v>38</v>
      </c>
      <c r="F8" s="50">
        <v>45346</v>
      </c>
      <c r="G8" s="50">
        <v>45374</v>
      </c>
      <c r="H8" s="48">
        <f t="shared" si="0"/>
        <v>28</v>
      </c>
      <c r="I8" s="48" t="str">
        <f t="shared" si="1"/>
        <v>Not Started</v>
      </c>
      <c r="J8" s="51">
        <v>0</v>
      </c>
      <c r="K8" s="48" t="s">
        <v>27</v>
      </c>
      <c r="L8" s="52">
        <v>4200</v>
      </c>
      <c r="M8" s="48">
        <v>0</v>
      </c>
      <c r="N8" s="52">
        <f t="shared" si="2"/>
        <v>117600</v>
      </c>
      <c r="O8" s="48" t="s">
        <v>35</v>
      </c>
      <c r="P8" s="48" t="str">
        <f t="shared" si="3"/>
        <v>Not Started</v>
      </c>
      <c r="Q8" s="48"/>
      <c r="R8" s="48"/>
    </row>
    <row r="9" spans="1:18" ht="15" customHeight="1" x14ac:dyDescent="0.25">
      <c r="A9" s="48">
        <v>6</v>
      </c>
      <c r="B9" s="49" t="s">
        <v>39</v>
      </c>
      <c r="C9" s="48" t="s">
        <v>24</v>
      </c>
      <c r="D9" s="48" t="s">
        <v>37</v>
      </c>
      <c r="E9" s="48" t="s">
        <v>20</v>
      </c>
      <c r="F9" s="50">
        <v>45433</v>
      </c>
      <c r="G9" s="50">
        <v>45440</v>
      </c>
      <c r="H9" s="48">
        <f t="shared" si="0"/>
        <v>7</v>
      </c>
      <c r="I9" s="48" t="str">
        <f t="shared" si="1"/>
        <v>In Progress</v>
      </c>
      <c r="J9" s="51">
        <v>1</v>
      </c>
      <c r="K9" s="48" t="s">
        <v>27</v>
      </c>
      <c r="L9" s="52">
        <v>5500</v>
      </c>
      <c r="M9" s="48">
        <v>168</v>
      </c>
      <c r="N9" s="52">
        <f t="shared" si="2"/>
        <v>38500</v>
      </c>
      <c r="O9" s="48" t="s">
        <v>22</v>
      </c>
      <c r="P9" s="48" t="str">
        <f t="shared" si="3"/>
        <v>In Progress</v>
      </c>
      <c r="Q9" s="48"/>
      <c r="R9" s="48"/>
    </row>
    <row r="10" spans="1:18" ht="15" customHeight="1" x14ac:dyDescent="0.25">
      <c r="A10" s="53">
        <v>7</v>
      </c>
      <c r="B10" s="54" t="s">
        <v>40</v>
      </c>
      <c r="C10" s="53" t="s">
        <v>29</v>
      </c>
      <c r="D10" s="53" t="s">
        <v>41</v>
      </c>
      <c r="E10" s="53" t="s">
        <v>26</v>
      </c>
      <c r="F10" s="55">
        <v>45412</v>
      </c>
      <c r="G10" s="55">
        <v>45426</v>
      </c>
      <c r="H10" s="53">
        <f t="shared" si="0"/>
        <v>14</v>
      </c>
      <c r="I10" s="53" t="str">
        <f t="shared" si="1"/>
        <v>In Progress</v>
      </c>
      <c r="J10" s="56">
        <v>1</v>
      </c>
      <c r="K10" s="53" t="s">
        <v>21</v>
      </c>
      <c r="L10" s="57">
        <v>5500</v>
      </c>
      <c r="M10" s="53">
        <v>168</v>
      </c>
      <c r="N10" s="57">
        <f t="shared" si="2"/>
        <v>77000</v>
      </c>
      <c r="O10" s="53" t="s">
        <v>31</v>
      </c>
      <c r="P10" s="53" t="str">
        <f t="shared" si="3"/>
        <v>In Progress</v>
      </c>
      <c r="Q10" s="53"/>
      <c r="R10" s="53"/>
    </row>
    <row r="11" spans="1:18" ht="15" customHeight="1" x14ac:dyDescent="0.25">
      <c r="A11" s="48">
        <v>8</v>
      </c>
      <c r="B11" s="49" t="s">
        <v>42</v>
      </c>
      <c r="C11" s="48" t="s">
        <v>33</v>
      </c>
      <c r="D11" s="48" t="s">
        <v>41</v>
      </c>
      <c r="E11" s="48" t="s">
        <v>30</v>
      </c>
      <c r="F11" s="50">
        <v>45302</v>
      </c>
      <c r="G11" s="50">
        <v>45330</v>
      </c>
      <c r="H11" s="48">
        <f t="shared" si="0"/>
        <v>28</v>
      </c>
      <c r="I11" s="48" t="str">
        <f t="shared" si="1"/>
        <v>Not Started</v>
      </c>
      <c r="J11" s="51">
        <v>0</v>
      </c>
      <c r="K11" s="48" t="s">
        <v>43</v>
      </c>
      <c r="L11" s="52">
        <v>3500</v>
      </c>
      <c r="M11" s="48">
        <v>0</v>
      </c>
      <c r="N11" s="52">
        <f t="shared" si="2"/>
        <v>98000</v>
      </c>
      <c r="O11" s="48" t="s">
        <v>31</v>
      </c>
      <c r="P11" s="48" t="str">
        <f t="shared" si="3"/>
        <v>Not Started</v>
      </c>
      <c r="Q11" s="48"/>
      <c r="R11" s="48"/>
    </row>
    <row r="12" spans="1:18" ht="15" customHeight="1" x14ac:dyDescent="0.25">
      <c r="A12" s="48">
        <v>9</v>
      </c>
      <c r="B12" s="49" t="s">
        <v>44</v>
      </c>
      <c r="C12" s="48" t="s">
        <v>18</v>
      </c>
      <c r="D12" s="48" t="s">
        <v>45</v>
      </c>
      <c r="E12" s="48" t="s">
        <v>34</v>
      </c>
      <c r="F12" s="50">
        <v>45316</v>
      </c>
      <c r="G12" s="50">
        <v>45326</v>
      </c>
      <c r="H12" s="48">
        <f t="shared" si="0"/>
        <v>10</v>
      </c>
      <c r="I12" s="48" t="str">
        <f t="shared" si="1"/>
        <v>Not Started</v>
      </c>
      <c r="J12" s="51">
        <v>0</v>
      </c>
      <c r="K12" s="48" t="s">
        <v>27</v>
      </c>
      <c r="L12" s="52">
        <v>5500</v>
      </c>
      <c r="M12" s="48">
        <v>0</v>
      </c>
      <c r="N12" s="52">
        <f t="shared" si="2"/>
        <v>55000</v>
      </c>
      <c r="O12" s="48" t="s">
        <v>31</v>
      </c>
      <c r="P12" s="48" t="str">
        <f t="shared" si="3"/>
        <v>Not Started</v>
      </c>
      <c r="Q12" s="48"/>
      <c r="R12" s="48"/>
    </row>
    <row r="13" spans="1:18" ht="15" customHeight="1" x14ac:dyDescent="0.25">
      <c r="A13" s="43">
        <v>10</v>
      </c>
      <c r="B13" s="44" t="s">
        <v>46</v>
      </c>
      <c r="C13" s="43" t="s">
        <v>24</v>
      </c>
      <c r="D13" s="43" t="s">
        <v>47</v>
      </c>
      <c r="E13" s="43" t="s">
        <v>38</v>
      </c>
      <c r="F13" s="45">
        <v>45307</v>
      </c>
      <c r="G13" s="45">
        <v>45321</v>
      </c>
      <c r="H13" s="43">
        <f t="shared" si="0"/>
        <v>14</v>
      </c>
      <c r="I13" s="43" t="str">
        <f t="shared" si="1"/>
        <v>In Progress</v>
      </c>
      <c r="J13" s="46">
        <v>0.75</v>
      </c>
      <c r="K13" s="43" t="s">
        <v>27</v>
      </c>
      <c r="L13" s="47">
        <v>2000</v>
      </c>
      <c r="M13" s="43">
        <v>120</v>
      </c>
      <c r="N13" s="47">
        <f t="shared" si="2"/>
        <v>28000</v>
      </c>
      <c r="O13" s="43" t="s">
        <v>31</v>
      </c>
      <c r="P13" s="43" t="str">
        <f t="shared" si="3"/>
        <v>In Progress</v>
      </c>
      <c r="Q13" s="43"/>
      <c r="R13" s="43"/>
    </row>
    <row r="14" spans="1:18" ht="15" customHeight="1" x14ac:dyDescent="0.25">
      <c r="A14" s="43">
        <v>11</v>
      </c>
      <c r="B14" s="44" t="s">
        <v>17</v>
      </c>
      <c r="C14" s="43" t="s">
        <v>29</v>
      </c>
      <c r="D14" s="43" t="s">
        <v>48</v>
      </c>
      <c r="E14" s="43" t="s">
        <v>20</v>
      </c>
      <c r="F14" s="45">
        <v>45413</v>
      </c>
      <c r="G14" s="45">
        <v>45420</v>
      </c>
      <c r="H14" s="43">
        <f t="shared" si="0"/>
        <v>7</v>
      </c>
      <c r="I14" s="43" t="str">
        <f t="shared" si="1"/>
        <v>In Progress</v>
      </c>
      <c r="J14" s="46">
        <v>0.4</v>
      </c>
      <c r="K14" s="43" t="s">
        <v>21</v>
      </c>
      <c r="L14" s="47">
        <v>3000</v>
      </c>
      <c r="M14" s="43">
        <v>80</v>
      </c>
      <c r="N14" s="47">
        <f t="shared" si="2"/>
        <v>21000</v>
      </c>
      <c r="O14" s="43" t="s">
        <v>49</v>
      </c>
      <c r="P14" s="43" t="str">
        <f t="shared" si="3"/>
        <v>In Progress</v>
      </c>
      <c r="Q14" s="43"/>
      <c r="R14" s="43"/>
    </row>
    <row r="15" spans="1:18" ht="15" customHeight="1" x14ac:dyDescent="0.25">
      <c r="A15" s="43">
        <v>12</v>
      </c>
      <c r="B15" s="44" t="s">
        <v>32</v>
      </c>
      <c r="C15" s="43" t="s">
        <v>33</v>
      </c>
      <c r="D15" s="43" t="s">
        <v>25</v>
      </c>
      <c r="E15" s="43" t="s">
        <v>34</v>
      </c>
      <c r="F15" s="45">
        <v>45341</v>
      </c>
      <c r="G15" s="45">
        <v>45348</v>
      </c>
      <c r="H15" s="43">
        <f t="shared" si="0"/>
        <v>7</v>
      </c>
      <c r="I15" s="43" t="str">
        <f t="shared" si="1"/>
        <v>In Progress</v>
      </c>
      <c r="J15" s="46">
        <v>0.75</v>
      </c>
      <c r="K15" s="43" t="s">
        <v>21</v>
      </c>
      <c r="L15" s="47">
        <v>4200</v>
      </c>
      <c r="M15" s="43">
        <v>0</v>
      </c>
      <c r="N15" s="47">
        <f t="shared" si="2"/>
        <v>29400</v>
      </c>
      <c r="O15" s="43" t="s">
        <v>35</v>
      </c>
      <c r="P15" s="43" t="str">
        <f t="shared" si="3"/>
        <v>In Progress</v>
      </c>
      <c r="Q15" s="43"/>
      <c r="R15" s="43"/>
    </row>
    <row r="16" spans="1:18" ht="15" customHeight="1" x14ac:dyDescent="0.25">
      <c r="A16" s="48">
        <v>13</v>
      </c>
      <c r="B16" s="49" t="s">
        <v>28</v>
      </c>
      <c r="C16" s="48" t="s">
        <v>18</v>
      </c>
      <c r="D16" s="48" t="s">
        <v>50</v>
      </c>
      <c r="E16" s="48" t="s">
        <v>30</v>
      </c>
      <c r="F16" s="50">
        <v>45412</v>
      </c>
      <c r="G16" s="50">
        <v>45433</v>
      </c>
      <c r="H16" s="48">
        <f t="shared" si="0"/>
        <v>21</v>
      </c>
      <c r="I16" s="48" t="str">
        <f t="shared" si="1"/>
        <v>In Progress</v>
      </c>
      <c r="J16" s="51">
        <v>0.65</v>
      </c>
      <c r="K16" s="48" t="s">
        <v>51</v>
      </c>
      <c r="L16" s="52">
        <v>3500</v>
      </c>
      <c r="M16" s="48">
        <v>140</v>
      </c>
      <c r="N16" s="52">
        <f t="shared" si="2"/>
        <v>73500</v>
      </c>
      <c r="O16" s="48" t="s">
        <v>22</v>
      </c>
      <c r="P16" s="48" t="str">
        <f t="shared" si="3"/>
        <v>In Progress</v>
      </c>
      <c r="Q16" s="48"/>
      <c r="R16" s="48"/>
    </row>
    <row r="17" spans="1:18" ht="15" customHeight="1" x14ac:dyDescent="0.25">
      <c r="A17" s="43">
        <v>14</v>
      </c>
      <c r="B17" s="44" t="s">
        <v>32</v>
      </c>
      <c r="C17" s="43" t="s">
        <v>24</v>
      </c>
      <c r="D17" s="43" t="s">
        <v>52</v>
      </c>
      <c r="E17" s="43" t="s">
        <v>34</v>
      </c>
      <c r="F17" s="45">
        <v>45416</v>
      </c>
      <c r="G17" s="45">
        <v>45423</v>
      </c>
      <c r="H17" s="43">
        <f t="shared" si="0"/>
        <v>7</v>
      </c>
      <c r="I17" s="43" t="str">
        <f t="shared" si="1"/>
        <v>In Progress</v>
      </c>
      <c r="J17" s="46">
        <v>0.75</v>
      </c>
      <c r="K17" s="43" t="s">
        <v>27</v>
      </c>
      <c r="L17" s="47">
        <v>3000</v>
      </c>
      <c r="M17" s="43">
        <v>60</v>
      </c>
      <c r="N17" s="47">
        <f t="shared" si="2"/>
        <v>21000</v>
      </c>
      <c r="O17" s="43" t="s">
        <v>35</v>
      </c>
      <c r="P17" s="43" t="str">
        <f t="shared" si="3"/>
        <v>In Progress</v>
      </c>
      <c r="Q17" s="43"/>
      <c r="R17" s="43"/>
    </row>
    <row r="18" spans="1:18" ht="15" customHeight="1" x14ac:dyDescent="0.25">
      <c r="A18" s="43">
        <v>15</v>
      </c>
      <c r="B18" s="44" t="s">
        <v>36</v>
      </c>
      <c r="C18" s="43" t="s">
        <v>29</v>
      </c>
      <c r="D18" s="43" t="s">
        <v>53</v>
      </c>
      <c r="E18" s="43" t="s">
        <v>38</v>
      </c>
      <c r="F18" s="45">
        <v>45313</v>
      </c>
      <c r="G18" s="45">
        <v>45327</v>
      </c>
      <c r="H18" s="43">
        <f t="shared" si="0"/>
        <v>14</v>
      </c>
      <c r="I18" s="43" t="str">
        <f t="shared" si="1"/>
        <v>In Progress</v>
      </c>
      <c r="J18" s="46">
        <v>0.75</v>
      </c>
      <c r="K18" s="43" t="s">
        <v>27</v>
      </c>
      <c r="L18" s="47">
        <v>4000</v>
      </c>
      <c r="M18" s="43">
        <v>140</v>
      </c>
      <c r="N18" s="47">
        <f t="shared" si="2"/>
        <v>56000</v>
      </c>
      <c r="O18" s="43" t="s">
        <v>31</v>
      </c>
      <c r="P18" s="43" t="str">
        <f t="shared" si="3"/>
        <v>In Progress</v>
      </c>
      <c r="Q18" s="43"/>
      <c r="R18" s="43"/>
    </row>
    <row r="19" spans="1:18" ht="15" customHeight="1" x14ac:dyDescent="0.25">
      <c r="A19" s="53">
        <v>16</v>
      </c>
      <c r="B19" s="54" t="s">
        <v>39</v>
      </c>
      <c r="C19" s="53" t="s">
        <v>33</v>
      </c>
      <c r="D19" s="53" t="s">
        <v>54</v>
      </c>
      <c r="E19" s="53" t="s">
        <v>20</v>
      </c>
      <c r="F19" s="55">
        <v>45394</v>
      </c>
      <c r="G19" s="55">
        <v>45404</v>
      </c>
      <c r="H19" s="53">
        <f t="shared" si="0"/>
        <v>10</v>
      </c>
      <c r="I19" s="53" t="str">
        <f t="shared" si="1"/>
        <v>In Progress</v>
      </c>
      <c r="J19" s="56">
        <v>1</v>
      </c>
      <c r="K19" s="53" t="s">
        <v>43</v>
      </c>
      <c r="L19" s="57">
        <v>3500</v>
      </c>
      <c r="M19" s="53">
        <v>140</v>
      </c>
      <c r="N19" s="57">
        <f t="shared" si="2"/>
        <v>35000</v>
      </c>
      <c r="O19" s="53" t="s">
        <v>55</v>
      </c>
      <c r="P19" s="53" t="str">
        <f t="shared" si="3"/>
        <v>In Progress</v>
      </c>
      <c r="Q19" s="53"/>
      <c r="R19" s="53"/>
    </row>
    <row r="20" spans="1:18" ht="15" customHeight="1" x14ac:dyDescent="0.25">
      <c r="A20" s="53">
        <v>17</v>
      </c>
      <c r="B20" s="54" t="s">
        <v>40</v>
      </c>
      <c r="C20" s="53" t="s">
        <v>18</v>
      </c>
      <c r="D20" s="53" t="s">
        <v>19</v>
      </c>
      <c r="E20" s="53" t="s">
        <v>26</v>
      </c>
      <c r="F20" s="55">
        <v>45363</v>
      </c>
      <c r="G20" s="55">
        <v>45375</v>
      </c>
      <c r="H20" s="53">
        <f t="shared" si="0"/>
        <v>12</v>
      </c>
      <c r="I20" s="53" t="str">
        <f t="shared" si="1"/>
        <v>In Progress</v>
      </c>
      <c r="J20" s="56">
        <v>0.75</v>
      </c>
      <c r="K20" s="53" t="s">
        <v>43</v>
      </c>
      <c r="L20" s="57">
        <v>5500</v>
      </c>
      <c r="M20" s="53">
        <v>168</v>
      </c>
      <c r="N20" s="57">
        <f t="shared" si="2"/>
        <v>66000</v>
      </c>
      <c r="O20" s="53" t="s">
        <v>31</v>
      </c>
      <c r="P20" s="53" t="str">
        <f t="shared" si="3"/>
        <v>In Progress</v>
      </c>
      <c r="Q20" s="53"/>
      <c r="R20" s="53"/>
    </row>
    <row r="21" spans="1:18" ht="15" customHeight="1" x14ac:dyDescent="0.25">
      <c r="A21" s="53">
        <v>18</v>
      </c>
      <c r="B21" s="54" t="s">
        <v>42</v>
      </c>
      <c r="C21" s="53" t="s">
        <v>24</v>
      </c>
      <c r="D21" s="53" t="s">
        <v>25</v>
      </c>
      <c r="E21" s="53" t="s">
        <v>30</v>
      </c>
      <c r="F21" s="55">
        <v>45388</v>
      </c>
      <c r="G21" s="55">
        <v>45416</v>
      </c>
      <c r="H21" s="53">
        <f t="shared" si="0"/>
        <v>28</v>
      </c>
      <c r="I21" s="53" t="str">
        <f t="shared" si="1"/>
        <v>Not Started</v>
      </c>
      <c r="J21" s="56">
        <v>0</v>
      </c>
      <c r="K21" s="53" t="s">
        <v>51</v>
      </c>
      <c r="L21" s="57">
        <v>3500</v>
      </c>
      <c r="M21" s="53">
        <v>80</v>
      </c>
      <c r="N21" s="57">
        <f t="shared" si="2"/>
        <v>98000</v>
      </c>
      <c r="O21" s="53" t="s">
        <v>49</v>
      </c>
      <c r="P21" s="53" t="str">
        <f t="shared" si="3"/>
        <v>Not Started</v>
      </c>
      <c r="Q21" s="53"/>
      <c r="R21" s="53"/>
    </row>
    <row r="22" spans="1:18" ht="15" customHeight="1" x14ac:dyDescent="0.25">
      <c r="A22" s="53">
        <v>19</v>
      </c>
      <c r="B22" s="54" t="s">
        <v>44</v>
      </c>
      <c r="C22" s="53" t="s">
        <v>29</v>
      </c>
      <c r="D22" s="53" t="s">
        <v>56</v>
      </c>
      <c r="E22" s="53" t="s">
        <v>34</v>
      </c>
      <c r="F22" s="55">
        <v>45304</v>
      </c>
      <c r="G22" s="55">
        <v>45314</v>
      </c>
      <c r="H22" s="53">
        <f t="shared" si="0"/>
        <v>10</v>
      </c>
      <c r="I22" s="53" t="str">
        <f t="shared" si="1"/>
        <v>In Progress</v>
      </c>
      <c r="J22" s="56">
        <v>0.65</v>
      </c>
      <c r="K22" s="53" t="s">
        <v>27</v>
      </c>
      <c r="L22" s="57">
        <v>2000</v>
      </c>
      <c r="M22" s="53">
        <v>80</v>
      </c>
      <c r="N22" s="57">
        <f t="shared" si="2"/>
        <v>20000</v>
      </c>
      <c r="O22" s="53" t="s">
        <v>49</v>
      </c>
      <c r="P22" s="53" t="str">
        <f t="shared" si="3"/>
        <v>In Progress</v>
      </c>
      <c r="Q22" s="53"/>
      <c r="R22" s="53"/>
    </row>
    <row r="23" spans="1:18" ht="15" customHeight="1" x14ac:dyDescent="0.25">
      <c r="A23" s="53">
        <v>20</v>
      </c>
      <c r="B23" s="54" t="s">
        <v>46</v>
      </c>
      <c r="C23" s="53" t="s">
        <v>33</v>
      </c>
      <c r="D23" s="53" t="s">
        <v>57</v>
      </c>
      <c r="E23" s="53" t="s">
        <v>38</v>
      </c>
      <c r="F23" s="55">
        <v>45379</v>
      </c>
      <c r="G23" s="55">
        <v>45386</v>
      </c>
      <c r="H23" s="53">
        <f t="shared" si="0"/>
        <v>7</v>
      </c>
      <c r="I23" s="53" t="str">
        <f t="shared" si="1"/>
        <v>Not Started</v>
      </c>
      <c r="J23" s="56">
        <v>0</v>
      </c>
      <c r="K23" s="53" t="s">
        <v>43</v>
      </c>
      <c r="L23" s="57">
        <v>5000</v>
      </c>
      <c r="M23" s="53">
        <v>140</v>
      </c>
      <c r="N23" s="57">
        <f t="shared" si="2"/>
        <v>35000</v>
      </c>
      <c r="O23" s="53" t="s">
        <v>55</v>
      </c>
      <c r="P23" s="53" t="str">
        <f t="shared" si="3"/>
        <v>Not Started</v>
      </c>
      <c r="Q23" s="53"/>
      <c r="R23" s="53"/>
    </row>
    <row r="24" spans="1:18" ht="15" customHeight="1" x14ac:dyDescent="0.25">
      <c r="A24" s="48">
        <v>21</v>
      </c>
      <c r="B24" s="49" t="s">
        <v>17</v>
      </c>
      <c r="C24" s="48" t="s">
        <v>18</v>
      </c>
      <c r="D24" s="48" t="s">
        <v>58</v>
      </c>
      <c r="E24" s="48" t="s">
        <v>20</v>
      </c>
      <c r="F24" s="50">
        <v>45293</v>
      </c>
      <c r="G24" s="50">
        <v>45300</v>
      </c>
      <c r="H24" s="48">
        <f t="shared" si="0"/>
        <v>7</v>
      </c>
      <c r="I24" s="48" t="str">
        <f t="shared" si="1"/>
        <v>In Progress</v>
      </c>
      <c r="J24" s="51">
        <v>0.5</v>
      </c>
      <c r="K24" s="48" t="s">
        <v>21</v>
      </c>
      <c r="L24" s="52">
        <v>4000</v>
      </c>
      <c r="M24" s="48">
        <v>80</v>
      </c>
      <c r="N24" s="52">
        <f t="shared" si="2"/>
        <v>28000</v>
      </c>
      <c r="O24" s="48" t="s">
        <v>31</v>
      </c>
      <c r="P24" s="48" t="str">
        <f t="shared" si="3"/>
        <v>In Progress</v>
      </c>
      <c r="Q24" s="48"/>
      <c r="R24" s="48"/>
    </row>
    <row r="25" spans="1:18" ht="15" customHeight="1" x14ac:dyDescent="0.25">
      <c r="A25" s="43">
        <v>22</v>
      </c>
      <c r="B25" s="44" t="s">
        <v>23</v>
      </c>
      <c r="C25" s="43" t="s">
        <v>24</v>
      </c>
      <c r="D25" s="43" t="s">
        <v>37</v>
      </c>
      <c r="E25" s="43" t="s">
        <v>26</v>
      </c>
      <c r="F25" s="45">
        <v>45388</v>
      </c>
      <c r="G25" s="45">
        <v>45398</v>
      </c>
      <c r="H25" s="43">
        <f t="shared" si="0"/>
        <v>10</v>
      </c>
      <c r="I25" s="43" t="str">
        <f t="shared" si="1"/>
        <v>In Progress</v>
      </c>
      <c r="J25" s="46">
        <v>1</v>
      </c>
      <c r="K25" s="43" t="s">
        <v>51</v>
      </c>
      <c r="L25" s="47">
        <v>4200</v>
      </c>
      <c r="M25" s="43">
        <v>140</v>
      </c>
      <c r="N25" s="47">
        <f t="shared" si="2"/>
        <v>42000</v>
      </c>
      <c r="O25" s="43" t="s">
        <v>49</v>
      </c>
      <c r="P25" s="43" t="str">
        <f t="shared" si="3"/>
        <v>In Progress</v>
      </c>
      <c r="Q25" s="43"/>
      <c r="R25" s="43"/>
    </row>
    <row r="26" spans="1:18" ht="15" customHeight="1" x14ac:dyDescent="0.25">
      <c r="A26" s="43">
        <v>23</v>
      </c>
      <c r="B26" s="44" t="s">
        <v>28</v>
      </c>
      <c r="C26" s="43" t="s">
        <v>29</v>
      </c>
      <c r="D26" s="43" t="s">
        <v>47</v>
      </c>
      <c r="E26" s="43" t="s">
        <v>30</v>
      </c>
      <c r="F26" s="45">
        <v>45314</v>
      </c>
      <c r="G26" s="45">
        <v>45321</v>
      </c>
      <c r="H26" s="43">
        <f t="shared" si="0"/>
        <v>7</v>
      </c>
      <c r="I26" s="43" t="str">
        <f t="shared" si="1"/>
        <v>In Progress</v>
      </c>
      <c r="J26" s="46">
        <v>0.65</v>
      </c>
      <c r="K26" s="43" t="s">
        <v>43</v>
      </c>
      <c r="L26" s="47">
        <v>5000</v>
      </c>
      <c r="M26" s="43">
        <v>80</v>
      </c>
      <c r="N26" s="47">
        <f t="shared" si="2"/>
        <v>35000</v>
      </c>
      <c r="O26" s="43" t="s">
        <v>31</v>
      </c>
      <c r="P26" s="43" t="str">
        <f t="shared" si="3"/>
        <v>In Progress</v>
      </c>
      <c r="Q26" s="43"/>
      <c r="R26" s="43"/>
    </row>
    <row r="27" spans="1:18" ht="15" customHeight="1" x14ac:dyDescent="0.25">
      <c r="A27" s="48">
        <v>24</v>
      </c>
      <c r="B27" s="49" t="s">
        <v>32</v>
      </c>
      <c r="C27" s="48" t="s">
        <v>33</v>
      </c>
      <c r="D27" s="48" t="s">
        <v>45</v>
      </c>
      <c r="E27" s="48" t="s">
        <v>34</v>
      </c>
      <c r="F27" s="50">
        <v>45437</v>
      </c>
      <c r="G27" s="50">
        <v>45465</v>
      </c>
      <c r="H27" s="48">
        <f t="shared" si="0"/>
        <v>28</v>
      </c>
      <c r="I27" s="48" t="str">
        <f t="shared" si="1"/>
        <v>In Progress</v>
      </c>
      <c r="J27" s="51">
        <v>0.5</v>
      </c>
      <c r="K27" s="48" t="s">
        <v>51</v>
      </c>
      <c r="L27" s="52">
        <v>3000</v>
      </c>
      <c r="M27" s="48">
        <v>120</v>
      </c>
      <c r="N27" s="52">
        <f t="shared" si="2"/>
        <v>84000</v>
      </c>
      <c r="O27" s="48" t="s">
        <v>31</v>
      </c>
      <c r="P27" s="48" t="str">
        <f t="shared" si="3"/>
        <v>In Progress</v>
      </c>
      <c r="Q27" s="48"/>
      <c r="R27" s="48"/>
    </row>
    <row r="28" spans="1:18" ht="15" customHeight="1" x14ac:dyDescent="0.25">
      <c r="A28" s="48">
        <v>25</v>
      </c>
      <c r="B28" s="49" t="s">
        <v>36</v>
      </c>
      <c r="C28" s="48" t="s">
        <v>18</v>
      </c>
      <c r="D28" s="48" t="s">
        <v>45</v>
      </c>
      <c r="E28" s="48" t="s">
        <v>38</v>
      </c>
      <c r="F28" s="50">
        <v>45434</v>
      </c>
      <c r="G28" s="50">
        <v>45444</v>
      </c>
      <c r="H28" s="48">
        <f t="shared" si="0"/>
        <v>10</v>
      </c>
      <c r="I28" s="48" t="str">
        <f t="shared" si="1"/>
        <v>In Progress</v>
      </c>
      <c r="J28" s="51">
        <v>0.25</v>
      </c>
      <c r="K28" s="48" t="s">
        <v>27</v>
      </c>
      <c r="L28" s="52">
        <v>5500</v>
      </c>
      <c r="M28" s="48">
        <v>140</v>
      </c>
      <c r="N28" s="52">
        <f t="shared" si="2"/>
        <v>55000</v>
      </c>
      <c r="O28" s="48" t="s">
        <v>55</v>
      </c>
      <c r="P28" s="48" t="str">
        <f t="shared" si="3"/>
        <v>In Progress</v>
      </c>
      <c r="Q28" s="48"/>
      <c r="R28" s="48"/>
    </row>
    <row r="29" spans="1:18" ht="15" customHeight="1" x14ac:dyDescent="0.25">
      <c r="A29" s="53">
        <v>26</v>
      </c>
      <c r="B29" s="54" t="s">
        <v>39</v>
      </c>
      <c r="C29" s="53" t="s">
        <v>24</v>
      </c>
      <c r="D29" s="53" t="s">
        <v>50</v>
      </c>
      <c r="E29" s="53" t="s">
        <v>20</v>
      </c>
      <c r="F29" s="55">
        <v>45401</v>
      </c>
      <c r="G29" s="55">
        <v>45411</v>
      </c>
      <c r="H29" s="53">
        <f t="shared" si="0"/>
        <v>10</v>
      </c>
      <c r="I29" s="53" t="str">
        <f t="shared" si="1"/>
        <v>In Progress</v>
      </c>
      <c r="J29" s="56">
        <v>1</v>
      </c>
      <c r="K29" s="53" t="s">
        <v>51</v>
      </c>
      <c r="L29" s="57">
        <v>5000</v>
      </c>
      <c r="M29" s="53">
        <v>120</v>
      </c>
      <c r="N29" s="57">
        <f t="shared" si="2"/>
        <v>50000</v>
      </c>
      <c r="O29" s="53" t="s">
        <v>55</v>
      </c>
      <c r="P29" s="53" t="str">
        <f t="shared" si="3"/>
        <v>In Progress</v>
      </c>
      <c r="Q29" s="53"/>
      <c r="R29" s="53"/>
    </row>
    <row r="30" spans="1:18" ht="15" customHeight="1" x14ac:dyDescent="0.25">
      <c r="A30" s="53">
        <v>27</v>
      </c>
      <c r="B30" s="54" t="s">
        <v>40</v>
      </c>
      <c r="C30" s="53" t="s">
        <v>29</v>
      </c>
      <c r="D30" s="53" t="s">
        <v>48</v>
      </c>
      <c r="E30" s="53" t="s">
        <v>26</v>
      </c>
      <c r="F30" s="55">
        <v>45332</v>
      </c>
      <c r="G30" s="55">
        <v>45344</v>
      </c>
      <c r="H30" s="53">
        <f t="shared" si="0"/>
        <v>12</v>
      </c>
      <c r="I30" s="53" t="str">
        <f t="shared" si="1"/>
        <v>In Progress</v>
      </c>
      <c r="J30" s="56">
        <v>1</v>
      </c>
      <c r="K30" s="53" t="s">
        <v>21</v>
      </c>
      <c r="L30" s="57">
        <v>3500</v>
      </c>
      <c r="M30" s="53">
        <v>0</v>
      </c>
      <c r="N30" s="57">
        <f t="shared" si="2"/>
        <v>42000</v>
      </c>
      <c r="O30" s="53" t="s">
        <v>59</v>
      </c>
      <c r="P30" s="53" t="str">
        <f t="shared" si="3"/>
        <v>In Progress</v>
      </c>
      <c r="Q30" s="53"/>
      <c r="R30" s="53"/>
    </row>
    <row r="31" spans="1:18" ht="15" customHeight="1" x14ac:dyDescent="0.25">
      <c r="A31" s="53">
        <v>28</v>
      </c>
      <c r="B31" s="54" t="s">
        <v>42</v>
      </c>
      <c r="C31" s="53" t="s">
        <v>33</v>
      </c>
      <c r="D31" s="53" t="s">
        <v>50</v>
      </c>
      <c r="E31" s="53" t="s">
        <v>30</v>
      </c>
      <c r="F31" s="55">
        <v>45316</v>
      </c>
      <c r="G31" s="55">
        <v>45330</v>
      </c>
      <c r="H31" s="53">
        <f t="shared" si="0"/>
        <v>14</v>
      </c>
      <c r="I31" s="53" t="str">
        <f t="shared" si="1"/>
        <v>In Progress</v>
      </c>
      <c r="J31" s="56">
        <v>0.4</v>
      </c>
      <c r="K31" s="53" t="s">
        <v>27</v>
      </c>
      <c r="L31" s="57">
        <v>3500</v>
      </c>
      <c r="M31" s="53">
        <v>100</v>
      </c>
      <c r="N31" s="57">
        <f t="shared" si="2"/>
        <v>49000</v>
      </c>
      <c r="O31" s="53" t="s">
        <v>59</v>
      </c>
      <c r="P31" s="53" t="str">
        <f t="shared" si="3"/>
        <v>In Progress</v>
      </c>
      <c r="Q31" s="53"/>
      <c r="R31" s="53"/>
    </row>
    <row r="32" spans="1:18" ht="15" customHeight="1" x14ac:dyDescent="0.25">
      <c r="A32" s="53">
        <v>29</v>
      </c>
      <c r="B32" s="54" t="s">
        <v>44</v>
      </c>
      <c r="C32" s="53" t="s">
        <v>18</v>
      </c>
      <c r="D32" s="53" t="s">
        <v>53</v>
      </c>
      <c r="E32" s="53" t="s">
        <v>34</v>
      </c>
      <c r="F32" s="55">
        <v>45402</v>
      </c>
      <c r="G32" s="55">
        <v>45423</v>
      </c>
      <c r="H32" s="53">
        <f t="shared" si="0"/>
        <v>21</v>
      </c>
      <c r="I32" s="53" t="str">
        <f t="shared" si="1"/>
        <v>In Progress</v>
      </c>
      <c r="J32" s="56">
        <v>0.75</v>
      </c>
      <c r="K32" s="53" t="s">
        <v>43</v>
      </c>
      <c r="L32" s="57">
        <v>4000</v>
      </c>
      <c r="M32" s="53">
        <v>80</v>
      </c>
      <c r="N32" s="57">
        <f t="shared" si="2"/>
        <v>84000</v>
      </c>
      <c r="O32" s="53" t="s">
        <v>31</v>
      </c>
      <c r="P32" s="53" t="str">
        <f t="shared" si="3"/>
        <v>In Progress</v>
      </c>
      <c r="Q32" s="53"/>
      <c r="R32" s="53"/>
    </row>
    <row r="33" spans="1:18" ht="15" customHeight="1" x14ac:dyDescent="0.25">
      <c r="A33" s="48">
        <v>30</v>
      </c>
      <c r="B33" s="49" t="s">
        <v>46</v>
      </c>
      <c r="C33" s="48" t="s">
        <v>24</v>
      </c>
      <c r="D33" s="48" t="s">
        <v>19</v>
      </c>
      <c r="E33" s="48" t="s">
        <v>38</v>
      </c>
      <c r="F33" s="50">
        <v>45383</v>
      </c>
      <c r="G33" s="50">
        <v>45397</v>
      </c>
      <c r="H33" s="48">
        <f t="shared" si="0"/>
        <v>14</v>
      </c>
      <c r="I33" s="48" t="str">
        <f t="shared" si="1"/>
        <v>In Progress</v>
      </c>
      <c r="J33" s="51">
        <v>0.25</v>
      </c>
      <c r="K33" s="48" t="s">
        <v>43</v>
      </c>
      <c r="L33" s="52">
        <v>4000</v>
      </c>
      <c r="M33" s="48">
        <v>168</v>
      </c>
      <c r="N33" s="52">
        <f t="shared" si="2"/>
        <v>56000</v>
      </c>
      <c r="O33" s="48" t="s">
        <v>31</v>
      </c>
      <c r="P33" s="48" t="str">
        <f t="shared" si="3"/>
        <v>In Progress</v>
      </c>
      <c r="Q33" s="48"/>
      <c r="R33" s="48"/>
    </row>
    <row r="34" spans="1:18" ht="15" customHeight="1" x14ac:dyDescent="0.25">
      <c r="A34" s="48">
        <v>31</v>
      </c>
      <c r="B34" s="49" t="s">
        <v>17</v>
      </c>
      <c r="C34" s="48" t="s">
        <v>29</v>
      </c>
      <c r="D34" s="48" t="s">
        <v>19</v>
      </c>
      <c r="E34" s="48" t="s">
        <v>20</v>
      </c>
      <c r="F34" s="50">
        <v>45298</v>
      </c>
      <c r="G34" s="50">
        <v>45319</v>
      </c>
      <c r="H34" s="48">
        <f t="shared" si="0"/>
        <v>21</v>
      </c>
      <c r="I34" s="48" t="str">
        <f t="shared" si="1"/>
        <v>In Progress</v>
      </c>
      <c r="J34" s="51">
        <v>0.5</v>
      </c>
      <c r="K34" s="48" t="s">
        <v>51</v>
      </c>
      <c r="L34" s="52">
        <v>4200</v>
      </c>
      <c r="M34" s="48">
        <v>0</v>
      </c>
      <c r="N34" s="52">
        <f t="shared" si="2"/>
        <v>88200</v>
      </c>
      <c r="O34" s="48" t="s">
        <v>31</v>
      </c>
      <c r="P34" s="48" t="str">
        <f t="shared" si="3"/>
        <v>In Progress</v>
      </c>
      <c r="Q34" s="48"/>
      <c r="R34" s="48"/>
    </row>
    <row r="35" spans="1:18" ht="15" customHeight="1" x14ac:dyDescent="0.25">
      <c r="A35" s="48">
        <v>32</v>
      </c>
      <c r="B35" s="49" t="s">
        <v>23</v>
      </c>
      <c r="C35" s="48" t="s">
        <v>33</v>
      </c>
      <c r="D35" s="48" t="s">
        <v>19</v>
      </c>
      <c r="E35" s="48" t="s">
        <v>26</v>
      </c>
      <c r="F35" s="50">
        <v>45391</v>
      </c>
      <c r="G35" s="50">
        <v>45403</v>
      </c>
      <c r="H35" s="48">
        <f t="shared" si="0"/>
        <v>12</v>
      </c>
      <c r="I35" s="48" t="str">
        <f t="shared" si="1"/>
        <v>In Progress</v>
      </c>
      <c r="J35" s="51">
        <v>0.65</v>
      </c>
      <c r="K35" s="48" t="s">
        <v>51</v>
      </c>
      <c r="L35" s="52">
        <v>5500</v>
      </c>
      <c r="M35" s="48">
        <v>80</v>
      </c>
      <c r="N35" s="52">
        <f t="shared" si="2"/>
        <v>66000</v>
      </c>
      <c r="O35" s="48" t="s">
        <v>55</v>
      </c>
      <c r="P35" s="48" t="str">
        <f t="shared" si="3"/>
        <v>In Progress</v>
      </c>
      <c r="Q35" s="48"/>
      <c r="R35" s="48"/>
    </row>
    <row r="36" spans="1:18" ht="15" customHeight="1" x14ac:dyDescent="0.25">
      <c r="A36" s="43">
        <v>33</v>
      </c>
      <c r="B36" s="44" t="s">
        <v>28</v>
      </c>
      <c r="C36" s="43" t="s">
        <v>18</v>
      </c>
      <c r="D36" s="43" t="s">
        <v>54</v>
      </c>
      <c r="E36" s="43" t="s">
        <v>30</v>
      </c>
      <c r="F36" s="45">
        <v>45406</v>
      </c>
      <c r="G36" s="45">
        <v>45434</v>
      </c>
      <c r="H36" s="43">
        <f t="shared" ref="H36:H67" si="4">IF(OR(F36="",G36=""),"",G36-F36)</f>
        <v>28</v>
      </c>
      <c r="I36" s="43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46">
        <v>0</v>
      </c>
      <c r="K36" s="43" t="s">
        <v>21</v>
      </c>
      <c r="L36" s="47">
        <v>4000</v>
      </c>
      <c r="M36" s="43">
        <v>140</v>
      </c>
      <c r="N36" s="47">
        <f t="shared" ref="N36:N67" si="6">IF(OR(L36="",H36=""),"",L36*H36)</f>
        <v>112000</v>
      </c>
      <c r="O36" s="43" t="s">
        <v>55</v>
      </c>
      <c r="P36" s="43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43"/>
      <c r="R36" s="43"/>
    </row>
    <row r="37" spans="1:18" ht="15" customHeight="1" x14ac:dyDescent="0.25">
      <c r="A37" s="43">
        <v>34</v>
      </c>
      <c r="B37" s="44" t="s">
        <v>32</v>
      </c>
      <c r="C37" s="43" t="s">
        <v>24</v>
      </c>
      <c r="D37" s="43" t="s">
        <v>56</v>
      </c>
      <c r="E37" s="43" t="s">
        <v>34</v>
      </c>
      <c r="F37" s="45">
        <v>45357</v>
      </c>
      <c r="G37" s="45">
        <v>45367</v>
      </c>
      <c r="H37" s="43">
        <f t="shared" si="4"/>
        <v>10</v>
      </c>
      <c r="I37" s="43" t="str">
        <f t="shared" si="5"/>
        <v>In Progress</v>
      </c>
      <c r="J37" s="46">
        <v>0.5</v>
      </c>
      <c r="K37" s="43" t="s">
        <v>51</v>
      </c>
      <c r="L37" s="47">
        <v>5000</v>
      </c>
      <c r="M37" s="43">
        <v>60</v>
      </c>
      <c r="N37" s="47">
        <f t="shared" si="6"/>
        <v>50000</v>
      </c>
      <c r="O37" s="43" t="s">
        <v>35</v>
      </c>
      <c r="P37" s="43" t="str">
        <f t="shared" si="7"/>
        <v>In Progress</v>
      </c>
      <c r="Q37" s="43"/>
      <c r="R37" s="43"/>
    </row>
    <row r="38" spans="1:18" ht="15" customHeight="1" x14ac:dyDescent="0.25">
      <c r="A38" s="43">
        <v>35</v>
      </c>
      <c r="B38" s="44" t="s">
        <v>36</v>
      </c>
      <c r="C38" s="43" t="s">
        <v>29</v>
      </c>
      <c r="D38" s="43" t="s">
        <v>37</v>
      </c>
      <c r="E38" s="43" t="s">
        <v>38</v>
      </c>
      <c r="F38" s="45">
        <v>45402</v>
      </c>
      <c r="G38" s="45">
        <v>45412</v>
      </c>
      <c r="H38" s="43">
        <f t="shared" si="4"/>
        <v>10</v>
      </c>
      <c r="I38" s="43" t="str">
        <f t="shared" si="5"/>
        <v>In Progress</v>
      </c>
      <c r="J38" s="46">
        <v>0.5</v>
      </c>
      <c r="K38" s="43" t="s">
        <v>27</v>
      </c>
      <c r="L38" s="47">
        <v>2000</v>
      </c>
      <c r="M38" s="43">
        <v>168</v>
      </c>
      <c r="N38" s="47">
        <f t="shared" si="6"/>
        <v>20000</v>
      </c>
      <c r="O38" s="43" t="s">
        <v>35</v>
      </c>
      <c r="P38" s="43" t="str">
        <f t="shared" si="7"/>
        <v>In Progress</v>
      </c>
      <c r="Q38" s="43"/>
      <c r="R38" s="43"/>
    </row>
    <row r="39" spans="1:18" ht="15" customHeight="1" x14ac:dyDescent="0.25">
      <c r="A39" s="48">
        <v>36</v>
      </c>
      <c r="B39" s="49" t="s">
        <v>39</v>
      </c>
      <c r="C39" s="48" t="s">
        <v>33</v>
      </c>
      <c r="D39" s="48" t="s">
        <v>56</v>
      </c>
      <c r="E39" s="48" t="s">
        <v>20</v>
      </c>
      <c r="F39" s="50">
        <v>45383</v>
      </c>
      <c r="G39" s="50">
        <v>45397</v>
      </c>
      <c r="H39" s="48">
        <f t="shared" si="4"/>
        <v>14</v>
      </c>
      <c r="I39" s="48" t="str">
        <f t="shared" si="5"/>
        <v>In Progress</v>
      </c>
      <c r="J39" s="51">
        <v>0.5</v>
      </c>
      <c r="K39" s="48" t="s">
        <v>51</v>
      </c>
      <c r="L39" s="52">
        <v>4200</v>
      </c>
      <c r="M39" s="48">
        <v>80</v>
      </c>
      <c r="N39" s="52">
        <f t="shared" si="6"/>
        <v>58800</v>
      </c>
      <c r="O39" s="48" t="s">
        <v>55</v>
      </c>
      <c r="P39" s="48" t="str">
        <f t="shared" si="7"/>
        <v>In Progress</v>
      </c>
      <c r="Q39" s="48"/>
      <c r="R39" s="48"/>
    </row>
    <row r="40" spans="1:18" ht="15" customHeight="1" x14ac:dyDescent="0.25">
      <c r="A40" s="43">
        <v>37</v>
      </c>
      <c r="B40" s="44" t="s">
        <v>40</v>
      </c>
      <c r="C40" s="43" t="s">
        <v>18</v>
      </c>
      <c r="D40" s="43" t="s">
        <v>37</v>
      </c>
      <c r="E40" s="43" t="s">
        <v>26</v>
      </c>
      <c r="F40" s="45">
        <v>45441</v>
      </c>
      <c r="G40" s="45">
        <v>45469</v>
      </c>
      <c r="H40" s="43">
        <f t="shared" si="4"/>
        <v>28</v>
      </c>
      <c r="I40" s="43" t="str">
        <f t="shared" si="5"/>
        <v>In Progress</v>
      </c>
      <c r="J40" s="46">
        <v>0.25</v>
      </c>
      <c r="K40" s="43" t="s">
        <v>21</v>
      </c>
      <c r="L40" s="47">
        <v>5500</v>
      </c>
      <c r="M40" s="43">
        <v>120</v>
      </c>
      <c r="N40" s="47">
        <f t="shared" si="6"/>
        <v>154000</v>
      </c>
      <c r="O40" s="43" t="s">
        <v>55</v>
      </c>
      <c r="P40" s="43" t="str">
        <f t="shared" si="7"/>
        <v>In Progress</v>
      </c>
      <c r="Q40" s="43"/>
      <c r="R40" s="43"/>
    </row>
    <row r="41" spans="1:18" ht="15" customHeight="1" x14ac:dyDescent="0.25">
      <c r="A41" s="43">
        <v>38</v>
      </c>
      <c r="B41" s="44" t="s">
        <v>42</v>
      </c>
      <c r="C41" s="43" t="s">
        <v>24</v>
      </c>
      <c r="D41" s="43" t="s">
        <v>58</v>
      </c>
      <c r="E41" s="43" t="s">
        <v>30</v>
      </c>
      <c r="F41" s="45">
        <v>45431</v>
      </c>
      <c r="G41" s="45">
        <v>45452</v>
      </c>
      <c r="H41" s="43">
        <f t="shared" si="4"/>
        <v>21</v>
      </c>
      <c r="I41" s="43" t="str">
        <f t="shared" si="5"/>
        <v>In Progress</v>
      </c>
      <c r="J41" s="46">
        <v>0.4</v>
      </c>
      <c r="K41" s="43" t="s">
        <v>21</v>
      </c>
      <c r="L41" s="47">
        <v>5000</v>
      </c>
      <c r="M41" s="43">
        <v>0</v>
      </c>
      <c r="N41" s="47">
        <f t="shared" si="6"/>
        <v>105000</v>
      </c>
      <c r="O41" s="43" t="s">
        <v>31</v>
      </c>
      <c r="P41" s="43" t="str">
        <f t="shared" si="7"/>
        <v>In Progress</v>
      </c>
      <c r="Q41" s="43"/>
      <c r="R41" s="43"/>
    </row>
    <row r="42" spans="1:18" ht="15" customHeight="1" x14ac:dyDescent="0.25">
      <c r="A42" s="48">
        <v>39</v>
      </c>
      <c r="B42" s="49" t="s">
        <v>44</v>
      </c>
      <c r="C42" s="48" t="s">
        <v>29</v>
      </c>
      <c r="D42" s="48" t="s">
        <v>41</v>
      </c>
      <c r="E42" s="48" t="s">
        <v>34</v>
      </c>
      <c r="F42" s="50">
        <v>45431</v>
      </c>
      <c r="G42" s="50">
        <v>45445</v>
      </c>
      <c r="H42" s="48">
        <f t="shared" si="4"/>
        <v>14</v>
      </c>
      <c r="I42" s="48" t="str">
        <f t="shared" si="5"/>
        <v>In Progress</v>
      </c>
      <c r="J42" s="51">
        <v>0.75</v>
      </c>
      <c r="K42" s="48" t="s">
        <v>43</v>
      </c>
      <c r="L42" s="52">
        <v>4000</v>
      </c>
      <c r="M42" s="48">
        <v>0</v>
      </c>
      <c r="N42" s="52">
        <f t="shared" si="6"/>
        <v>56000</v>
      </c>
      <c r="O42" s="48" t="s">
        <v>55</v>
      </c>
      <c r="P42" s="48" t="str">
        <f t="shared" si="7"/>
        <v>In Progress</v>
      </c>
      <c r="Q42" s="48"/>
      <c r="R42" s="48"/>
    </row>
    <row r="43" spans="1:18" ht="15" customHeight="1" x14ac:dyDescent="0.25">
      <c r="A43" s="48">
        <v>40</v>
      </c>
      <c r="B43" s="49" t="s">
        <v>46</v>
      </c>
      <c r="C43" s="48" t="s">
        <v>33</v>
      </c>
      <c r="D43" s="48" t="s">
        <v>47</v>
      </c>
      <c r="E43" s="48" t="s">
        <v>38</v>
      </c>
      <c r="F43" s="50">
        <v>45419</v>
      </c>
      <c r="G43" s="50">
        <v>45429</v>
      </c>
      <c r="H43" s="48">
        <f t="shared" si="4"/>
        <v>10</v>
      </c>
      <c r="I43" s="48" t="str">
        <f t="shared" si="5"/>
        <v>In Progress</v>
      </c>
      <c r="J43" s="51">
        <v>0.75</v>
      </c>
      <c r="K43" s="48" t="s">
        <v>51</v>
      </c>
      <c r="L43" s="52">
        <v>3500</v>
      </c>
      <c r="M43" s="48">
        <v>160</v>
      </c>
      <c r="N43" s="52">
        <f t="shared" si="6"/>
        <v>35000</v>
      </c>
      <c r="O43" s="48" t="s">
        <v>55</v>
      </c>
      <c r="P43" s="48" t="str">
        <f t="shared" si="7"/>
        <v>In Progress</v>
      </c>
      <c r="Q43" s="48"/>
      <c r="R43" s="48"/>
    </row>
    <row r="44" spans="1:18" ht="15" customHeight="1" x14ac:dyDescent="0.25">
      <c r="A44" s="43">
        <v>41</v>
      </c>
      <c r="B44" s="44" t="s">
        <v>17</v>
      </c>
      <c r="C44" s="43" t="s">
        <v>18</v>
      </c>
      <c r="D44" s="43" t="s">
        <v>48</v>
      </c>
      <c r="E44" s="43" t="s">
        <v>20</v>
      </c>
      <c r="F44" s="45">
        <v>45350</v>
      </c>
      <c r="G44" s="45">
        <v>45357</v>
      </c>
      <c r="H44" s="43">
        <f t="shared" si="4"/>
        <v>7</v>
      </c>
      <c r="I44" s="43" t="str">
        <f t="shared" si="5"/>
        <v>In Progress</v>
      </c>
      <c r="J44" s="46">
        <v>0.65</v>
      </c>
      <c r="K44" s="43" t="s">
        <v>27</v>
      </c>
      <c r="L44" s="47">
        <v>3000</v>
      </c>
      <c r="M44" s="43">
        <v>60</v>
      </c>
      <c r="N44" s="47">
        <f t="shared" si="6"/>
        <v>21000</v>
      </c>
      <c r="O44" s="43" t="s">
        <v>35</v>
      </c>
      <c r="P44" s="43" t="str">
        <f t="shared" si="7"/>
        <v>In Progress</v>
      </c>
      <c r="Q44" s="43"/>
      <c r="R44" s="43"/>
    </row>
    <row r="45" spans="1:18" ht="15" customHeight="1" x14ac:dyDescent="0.25">
      <c r="A45" s="53">
        <v>42</v>
      </c>
      <c r="B45" s="54" t="s">
        <v>23</v>
      </c>
      <c r="C45" s="53" t="s">
        <v>24</v>
      </c>
      <c r="D45" s="53" t="s">
        <v>60</v>
      </c>
      <c r="E45" s="53" t="s">
        <v>26</v>
      </c>
      <c r="F45" s="55">
        <v>45401</v>
      </c>
      <c r="G45" s="55">
        <v>45411</v>
      </c>
      <c r="H45" s="53">
        <f t="shared" si="4"/>
        <v>10</v>
      </c>
      <c r="I45" s="53" t="str">
        <f t="shared" si="5"/>
        <v>In Progress</v>
      </c>
      <c r="J45" s="56">
        <v>0.75</v>
      </c>
      <c r="K45" s="53" t="s">
        <v>43</v>
      </c>
      <c r="L45" s="57">
        <v>5500</v>
      </c>
      <c r="M45" s="53">
        <v>120</v>
      </c>
      <c r="N45" s="57">
        <f t="shared" si="6"/>
        <v>55000</v>
      </c>
      <c r="O45" s="53" t="s">
        <v>55</v>
      </c>
      <c r="P45" s="53" t="str">
        <f t="shared" si="7"/>
        <v>In Progress</v>
      </c>
      <c r="Q45" s="53"/>
      <c r="R45" s="53"/>
    </row>
    <row r="46" spans="1:18" ht="15" customHeight="1" x14ac:dyDescent="0.25">
      <c r="A46" s="53">
        <v>43</v>
      </c>
      <c r="B46" s="54" t="s">
        <v>28</v>
      </c>
      <c r="C46" s="53" t="s">
        <v>29</v>
      </c>
      <c r="D46" s="53" t="s">
        <v>50</v>
      </c>
      <c r="E46" s="53" t="s">
        <v>30</v>
      </c>
      <c r="F46" s="55">
        <v>45377</v>
      </c>
      <c r="G46" s="55">
        <v>45391</v>
      </c>
      <c r="H46" s="53">
        <f t="shared" si="4"/>
        <v>14</v>
      </c>
      <c r="I46" s="53" t="str">
        <f t="shared" si="5"/>
        <v>In Progress</v>
      </c>
      <c r="J46" s="56">
        <v>0.25</v>
      </c>
      <c r="K46" s="53" t="s">
        <v>43</v>
      </c>
      <c r="L46" s="57">
        <v>4000</v>
      </c>
      <c r="M46" s="53">
        <v>0</v>
      </c>
      <c r="N46" s="57">
        <f t="shared" si="6"/>
        <v>56000</v>
      </c>
      <c r="O46" s="53" t="s">
        <v>49</v>
      </c>
      <c r="P46" s="53" t="str">
        <f t="shared" si="7"/>
        <v>In Progress</v>
      </c>
      <c r="Q46" s="53"/>
      <c r="R46" s="53"/>
    </row>
    <row r="47" spans="1:18" ht="15" customHeight="1" x14ac:dyDescent="0.25">
      <c r="A47" s="43">
        <v>44</v>
      </c>
      <c r="B47" s="44" t="s">
        <v>32</v>
      </c>
      <c r="C47" s="43" t="s">
        <v>33</v>
      </c>
      <c r="D47" s="43" t="s">
        <v>60</v>
      </c>
      <c r="E47" s="43" t="s">
        <v>34</v>
      </c>
      <c r="F47" s="45">
        <v>45301</v>
      </c>
      <c r="G47" s="45">
        <v>45308</v>
      </c>
      <c r="H47" s="43">
        <f t="shared" si="4"/>
        <v>7</v>
      </c>
      <c r="I47" s="43" t="str">
        <f t="shared" si="5"/>
        <v>In Progress</v>
      </c>
      <c r="J47" s="46">
        <v>0.4</v>
      </c>
      <c r="K47" s="43" t="s">
        <v>27</v>
      </c>
      <c r="L47" s="47">
        <v>5500</v>
      </c>
      <c r="M47" s="43">
        <v>0</v>
      </c>
      <c r="N47" s="47">
        <f t="shared" si="6"/>
        <v>38500</v>
      </c>
      <c r="O47" s="43" t="s">
        <v>31</v>
      </c>
      <c r="P47" s="43" t="str">
        <f t="shared" si="7"/>
        <v>In Progress</v>
      </c>
      <c r="Q47" s="43"/>
      <c r="R47" s="43"/>
    </row>
    <row r="48" spans="1:18" ht="15" customHeight="1" x14ac:dyDescent="0.25">
      <c r="A48" s="53">
        <v>45</v>
      </c>
      <c r="B48" s="54" t="s">
        <v>36</v>
      </c>
      <c r="C48" s="53" t="s">
        <v>18</v>
      </c>
      <c r="D48" s="53" t="s">
        <v>53</v>
      </c>
      <c r="E48" s="53" t="s">
        <v>38</v>
      </c>
      <c r="F48" s="55">
        <v>45363</v>
      </c>
      <c r="G48" s="55">
        <v>45377</v>
      </c>
      <c r="H48" s="53">
        <f t="shared" si="4"/>
        <v>14</v>
      </c>
      <c r="I48" s="53" t="str">
        <f t="shared" si="5"/>
        <v>In Progress</v>
      </c>
      <c r="J48" s="56">
        <v>0.65</v>
      </c>
      <c r="K48" s="53" t="s">
        <v>27</v>
      </c>
      <c r="L48" s="57">
        <v>4000</v>
      </c>
      <c r="M48" s="53">
        <v>60</v>
      </c>
      <c r="N48" s="57">
        <f t="shared" si="6"/>
        <v>56000</v>
      </c>
      <c r="O48" s="53" t="s">
        <v>55</v>
      </c>
      <c r="P48" s="53" t="str">
        <f t="shared" si="7"/>
        <v>In Progress</v>
      </c>
      <c r="Q48" s="53"/>
      <c r="R48" s="53"/>
    </row>
    <row r="49" spans="1:18" ht="15" customHeight="1" x14ac:dyDescent="0.25">
      <c r="A49" s="53">
        <v>46</v>
      </c>
      <c r="B49" s="54" t="s">
        <v>39</v>
      </c>
      <c r="C49" s="53" t="s">
        <v>24</v>
      </c>
      <c r="D49" s="53" t="s">
        <v>52</v>
      </c>
      <c r="E49" s="53" t="s">
        <v>20</v>
      </c>
      <c r="F49" s="55">
        <v>45318</v>
      </c>
      <c r="G49" s="55">
        <v>45328</v>
      </c>
      <c r="H49" s="53">
        <f t="shared" si="4"/>
        <v>10</v>
      </c>
      <c r="I49" s="53" t="str">
        <f t="shared" si="5"/>
        <v>In Progress</v>
      </c>
      <c r="J49" s="56">
        <v>1</v>
      </c>
      <c r="K49" s="53" t="s">
        <v>51</v>
      </c>
      <c r="L49" s="57">
        <v>3500</v>
      </c>
      <c r="M49" s="53">
        <v>80</v>
      </c>
      <c r="N49" s="57">
        <f t="shared" si="6"/>
        <v>35000</v>
      </c>
      <c r="O49" s="53" t="s">
        <v>55</v>
      </c>
      <c r="P49" s="53" t="str">
        <f t="shared" si="7"/>
        <v>In Progress</v>
      </c>
      <c r="Q49" s="53"/>
      <c r="R49" s="53"/>
    </row>
    <row r="50" spans="1:18" ht="15" customHeight="1" x14ac:dyDescent="0.25">
      <c r="A50" s="43">
        <v>47</v>
      </c>
      <c r="B50" s="44" t="s">
        <v>40</v>
      </c>
      <c r="C50" s="43" t="s">
        <v>29</v>
      </c>
      <c r="D50" s="43" t="s">
        <v>25</v>
      </c>
      <c r="E50" s="43" t="s">
        <v>26</v>
      </c>
      <c r="F50" s="45">
        <v>45357</v>
      </c>
      <c r="G50" s="45">
        <v>45364</v>
      </c>
      <c r="H50" s="43">
        <f t="shared" si="4"/>
        <v>7</v>
      </c>
      <c r="I50" s="43" t="str">
        <f t="shared" si="5"/>
        <v>In Progress</v>
      </c>
      <c r="J50" s="46">
        <v>0.4</v>
      </c>
      <c r="K50" s="43" t="s">
        <v>51</v>
      </c>
      <c r="L50" s="47">
        <v>4000</v>
      </c>
      <c r="M50" s="43">
        <v>120</v>
      </c>
      <c r="N50" s="47">
        <f t="shared" si="6"/>
        <v>28000</v>
      </c>
      <c r="O50" s="43" t="s">
        <v>59</v>
      </c>
      <c r="P50" s="43" t="str">
        <f t="shared" si="7"/>
        <v>In Progress</v>
      </c>
      <c r="Q50" s="43"/>
      <c r="R50" s="43"/>
    </row>
    <row r="51" spans="1:18" ht="15" customHeight="1" x14ac:dyDescent="0.25">
      <c r="A51" s="53">
        <v>48</v>
      </c>
      <c r="B51" s="54" t="s">
        <v>46</v>
      </c>
      <c r="C51" s="53" t="s">
        <v>33</v>
      </c>
      <c r="D51" s="53" t="s">
        <v>57</v>
      </c>
      <c r="E51" s="53" t="s">
        <v>38</v>
      </c>
      <c r="F51" s="55">
        <v>45379</v>
      </c>
      <c r="G51" s="55">
        <v>45386</v>
      </c>
      <c r="H51" s="53">
        <f t="shared" si="4"/>
        <v>7</v>
      </c>
      <c r="I51" s="53" t="str">
        <f t="shared" si="5"/>
        <v>Not Started</v>
      </c>
      <c r="J51" s="56">
        <v>0</v>
      </c>
      <c r="K51" s="53" t="s">
        <v>43</v>
      </c>
      <c r="L51" s="57">
        <v>5000</v>
      </c>
      <c r="M51" s="53">
        <v>140</v>
      </c>
      <c r="N51" s="57">
        <f t="shared" si="6"/>
        <v>35000</v>
      </c>
      <c r="O51" s="53" t="s">
        <v>55</v>
      </c>
      <c r="P51" s="53" t="str">
        <f t="shared" si="7"/>
        <v>Not Started</v>
      </c>
      <c r="Q51" s="53"/>
      <c r="R51" s="53"/>
    </row>
    <row r="52" spans="1:18" ht="15" customHeight="1" x14ac:dyDescent="0.25">
      <c r="A52" s="53">
        <v>49</v>
      </c>
      <c r="B52" s="54" t="s">
        <v>44</v>
      </c>
      <c r="C52" s="53" t="s">
        <v>18</v>
      </c>
      <c r="D52" s="53" t="s">
        <v>56</v>
      </c>
      <c r="E52" s="53" t="s">
        <v>34</v>
      </c>
      <c r="F52" s="55">
        <v>45299</v>
      </c>
      <c r="G52" s="55">
        <v>45327</v>
      </c>
      <c r="H52" s="53">
        <f t="shared" si="4"/>
        <v>28</v>
      </c>
      <c r="I52" s="53" t="str">
        <f t="shared" si="5"/>
        <v>In Progress</v>
      </c>
      <c r="J52" s="56">
        <v>0.75</v>
      </c>
      <c r="K52" s="53" t="s">
        <v>43</v>
      </c>
      <c r="L52" s="57">
        <v>4000</v>
      </c>
      <c r="M52" s="53">
        <v>120</v>
      </c>
      <c r="N52" s="57">
        <f t="shared" si="6"/>
        <v>112000</v>
      </c>
      <c r="O52" s="53" t="s">
        <v>31</v>
      </c>
      <c r="P52" s="53" t="str">
        <f t="shared" si="7"/>
        <v>In Progress</v>
      </c>
      <c r="Q52" s="53"/>
      <c r="R52" s="53"/>
    </row>
    <row r="53" spans="1:18" ht="15" customHeight="1" x14ac:dyDescent="0.25">
      <c r="A53" s="48">
        <v>50</v>
      </c>
      <c r="B53" s="49" t="s">
        <v>46</v>
      </c>
      <c r="C53" s="48" t="s">
        <v>24</v>
      </c>
      <c r="D53" s="48" t="s">
        <v>57</v>
      </c>
      <c r="E53" s="48" t="s">
        <v>38</v>
      </c>
      <c r="F53" s="50">
        <v>45371</v>
      </c>
      <c r="G53" s="50">
        <v>45378</v>
      </c>
      <c r="H53" s="48">
        <f t="shared" si="4"/>
        <v>7</v>
      </c>
      <c r="I53" s="48" t="str">
        <f t="shared" si="5"/>
        <v>In Progress</v>
      </c>
      <c r="J53" s="51">
        <v>0.25</v>
      </c>
      <c r="K53" s="48" t="s">
        <v>51</v>
      </c>
      <c r="L53" s="52">
        <v>5000</v>
      </c>
      <c r="M53" s="48">
        <v>0</v>
      </c>
      <c r="N53" s="52">
        <f t="shared" si="6"/>
        <v>35000</v>
      </c>
      <c r="O53" s="48" t="s">
        <v>59</v>
      </c>
      <c r="P53" s="48" t="str">
        <f t="shared" si="7"/>
        <v>In Progress</v>
      </c>
      <c r="Q53" s="48"/>
      <c r="R53" s="48"/>
    </row>
    <row r="54" spans="1:18" ht="15" customHeight="1" x14ac:dyDescent="0.25">
      <c r="A54" s="53">
        <v>51</v>
      </c>
      <c r="B54" s="54" t="s">
        <v>17</v>
      </c>
      <c r="C54" s="53" t="s">
        <v>29</v>
      </c>
      <c r="D54" s="53" t="s">
        <v>37</v>
      </c>
      <c r="E54" s="53" t="s">
        <v>20</v>
      </c>
      <c r="F54" s="55">
        <v>45318</v>
      </c>
      <c r="G54" s="55">
        <v>45328</v>
      </c>
      <c r="H54" s="53">
        <f t="shared" si="4"/>
        <v>10</v>
      </c>
      <c r="I54" s="53" t="str">
        <f t="shared" si="5"/>
        <v>Not Started</v>
      </c>
      <c r="J54" s="56">
        <v>0</v>
      </c>
      <c r="K54" s="53" t="s">
        <v>27</v>
      </c>
      <c r="L54" s="57">
        <v>4200</v>
      </c>
      <c r="M54" s="53">
        <v>60</v>
      </c>
      <c r="N54" s="57">
        <f t="shared" si="6"/>
        <v>42000</v>
      </c>
      <c r="O54" s="53" t="s">
        <v>59</v>
      </c>
      <c r="P54" s="53" t="str">
        <f t="shared" si="7"/>
        <v>Not Started</v>
      </c>
      <c r="Q54" s="53"/>
      <c r="R54" s="53"/>
    </row>
    <row r="55" spans="1:18" ht="15" customHeight="1" x14ac:dyDescent="0.25">
      <c r="A55" s="53">
        <v>52</v>
      </c>
      <c r="B55" s="54" t="s">
        <v>23</v>
      </c>
      <c r="C55" s="53" t="s">
        <v>33</v>
      </c>
      <c r="D55" s="53" t="s">
        <v>37</v>
      </c>
      <c r="E55" s="53" t="s">
        <v>26</v>
      </c>
      <c r="F55" s="55">
        <v>45407</v>
      </c>
      <c r="G55" s="55">
        <v>45419</v>
      </c>
      <c r="H55" s="53">
        <f t="shared" si="4"/>
        <v>12</v>
      </c>
      <c r="I55" s="53" t="str">
        <f t="shared" si="5"/>
        <v>In Progress</v>
      </c>
      <c r="J55" s="56">
        <v>0.25</v>
      </c>
      <c r="K55" s="53" t="s">
        <v>21</v>
      </c>
      <c r="L55" s="57">
        <v>5000</v>
      </c>
      <c r="M55" s="53">
        <v>100</v>
      </c>
      <c r="N55" s="57">
        <f t="shared" si="6"/>
        <v>60000</v>
      </c>
      <c r="O55" s="53" t="s">
        <v>31</v>
      </c>
      <c r="P55" s="53" t="str">
        <f t="shared" si="7"/>
        <v>In Progress</v>
      </c>
      <c r="Q55" s="53"/>
      <c r="R55" s="53"/>
    </row>
    <row r="56" spans="1:18" ht="15" customHeight="1" x14ac:dyDescent="0.25">
      <c r="A56" s="53">
        <v>53</v>
      </c>
      <c r="B56" s="54" t="s">
        <v>28</v>
      </c>
      <c r="C56" s="53" t="s">
        <v>18</v>
      </c>
      <c r="D56" s="53" t="s">
        <v>58</v>
      </c>
      <c r="E56" s="53" t="s">
        <v>30</v>
      </c>
      <c r="F56" s="55">
        <v>45378</v>
      </c>
      <c r="G56" s="55">
        <v>45399</v>
      </c>
      <c r="H56" s="53">
        <f t="shared" si="4"/>
        <v>21</v>
      </c>
      <c r="I56" s="53" t="str">
        <f t="shared" si="5"/>
        <v>In Progress</v>
      </c>
      <c r="J56" s="56">
        <v>1</v>
      </c>
      <c r="K56" s="53" t="s">
        <v>21</v>
      </c>
      <c r="L56" s="57">
        <v>5000</v>
      </c>
      <c r="M56" s="53">
        <v>168</v>
      </c>
      <c r="N56" s="57">
        <f t="shared" si="6"/>
        <v>105000</v>
      </c>
      <c r="O56" s="53" t="s">
        <v>31</v>
      </c>
      <c r="P56" s="53" t="str">
        <f t="shared" si="7"/>
        <v>In Progress</v>
      </c>
      <c r="Q56" s="53"/>
      <c r="R56" s="53"/>
    </row>
    <row r="57" spans="1:18" ht="15" customHeight="1" x14ac:dyDescent="0.25">
      <c r="A57" s="43">
        <v>54</v>
      </c>
      <c r="B57" s="44" t="s">
        <v>32</v>
      </c>
      <c r="C57" s="43" t="s">
        <v>24</v>
      </c>
      <c r="D57" s="43" t="s">
        <v>47</v>
      </c>
      <c r="E57" s="43" t="s">
        <v>34</v>
      </c>
      <c r="F57" s="45">
        <v>45298</v>
      </c>
      <c r="G57" s="45">
        <v>45308</v>
      </c>
      <c r="H57" s="43">
        <f t="shared" si="4"/>
        <v>10</v>
      </c>
      <c r="I57" s="43" t="str">
        <f t="shared" si="5"/>
        <v>In Progress</v>
      </c>
      <c r="J57" s="46">
        <v>0.65</v>
      </c>
      <c r="K57" s="43" t="s">
        <v>27</v>
      </c>
      <c r="L57" s="47">
        <v>3000</v>
      </c>
      <c r="M57" s="43">
        <v>168</v>
      </c>
      <c r="N57" s="47">
        <f t="shared" si="6"/>
        <v>30000</v>
      </c>
      <c r="O57" s="43" t="s">
        <v>35</v>
      </c>
      <c r="P57" s="43" t="str">
        <f t="shared" si="7"/>
        <v>In Progress</v>
      </c>
      <c r="Q57" s="43"/>
      <c r="R57" s="43"/>
    </row>
    <row r="58" spans="1:18" ht="15" customHeight="1" x14ac:dyDescent="0.25">
      <c r="A58" s="53">
        <v>55</v>
      </c>
      <c r="B58" s="54" t="s">
        <v>36</v>
      </c>
      <c r="C58" s="53" t="s">
        <v>29</v>
      </c>
      <c r="D58" s="53" t="s">
        <v>48</v>
      </c>
      <c r="E58" s="53" t="s">
        <v>38</v>
      </c>
      <c r="F58" s="55">
        <v>45331</v>
      </c>
      <c r="G58" s="55">
        <v>45352</v>
      </c>
      <c r="H58" s="53">
        <f t="shared" si="4"/>
        <v>21</v>
      </c>
      <c r="I58" s="53" t="str">
        <f t="shared" si="5"/>
        <v>In Progress</v>
      </c>
      <c r="J58" s="56">
        <v>0.65</v>
      </c>
      <c r="K58" s="53" t="s">
        <v>51</v>
      </c>
      <c r="L58" s="57">
        <v>4200</v>
      </c>
      <c r="M58" s="53">
        <v>100</v>
      </c>
      <c r="N58" s="57">
        <f t="shared" si="6"/>
        <v>88200</v>
      </c>
      <c r="O58" s="53" t="s">
        <v>59</v>
      </c>
      <c r="P58" s="53" t="str">
        <f t="shared" si="7"/>
        <v>In Progress</v>
      </c>
      <c r="Q58" s="53"/>
      <c r="R58" s="53"/>
    </row>
    <row r="59" spans="1:18" ht="15" customHeight="1" x14ac:dyDescent="0.25">
      <c r="A59" s="53">
        <v>56</v>
      </c>
      <c r="B59" s="54" t="s">
        <v>39</v>
      </c>
      <c r="C59" s="53" t="s">
        <v>33</v>
      </c>
      <c r="D59" s="53" t="s">
        <v>50</v>
      </c>
      <c r="E59" s="53" t="s">
        <v>20</v>
      </c>
      <c r="F59" s="55">
        <v>45327</v>
      </c>
      <c r="G59" s="55">
        <v>45334</v>
      </c>
      <c r="H59" s="53">
        <f t="shared" si="4"/>
        <v>7</v>
      </c>
      <c r="I59" s="53" t="str">
        <f t="shared" si="5"/>
        <v>Not Started</v>
      </c>
      <c r="J59" s="56">
        <v>0</v>
      </c>
      <c r="K59" s="53" t="s">
        <v>27</v>
      </c>
      <c r="L59" s="57">
        <v>2000</v>
      </c>
      <c r="M59" s="53">
        <v>168</v>
      </c>
      <c r="N59" s="57">
        <f t="shared" si="6"/>
        <v>14000</v>
      </c>
      <c r="O59" s="53" t="s">
        <v>59</v>
      </c>
      <c r="P59" s="53" t="str">
        <f t="shared" si="7"/>
        <v>Not Started</v>
      </c>
      <c r="Q59" s="53"/>
      <c r="R59" s="53"/>
    </row>
    <row r="60" spans="1:18" ht="15" customHeight="1" x14ac:dyDescent="0.25">
      <c r="A60" s="43">
        <v>57</v>
      </c>
      <c r="B60" s="44" t="s">
        <v>40</v>
      </c>
      <c r="C60" s="43" t="s">
        <v>18</v>
      </c>
      <c r="D60" s="43" t="s">
        <v>50</v>
      </c>
      <c r="E60" s="43" t="s">
        <v>26</v>
      </c>
      <c r="F60" s="45">
        <v>45329</v>
      </c>
      <c r="G60" s="45">
        <v>45350</v>
      </c>
      <c r="H60" s="43">
        <f t="shared" si="4"/>
        <v>21</v>
      </c>
      <c r="I60" s="43" t="str">
        <f t="shared" si="5"/>
        <v>In Progress</v>
      </c>
      <c r="J60" s="46">
        <v>1</v>
      </c>
      <c r="K60" s="43" t="s">
        <v>43</v>
      </c>
      <c r="L60" s="47">
        <v>2000</v>
      </c>
      <c r="M60" s="43">
        <v>168</v>
      </c>
      <c r="N60" s="47">
        <f t="shared" si="6"/>
        <v>42000</v>
      </c>
      <c r="O60" s="43" t="s">
        <v>31</v>
      </c>
      <c r="P60" s="43" t="str">
        <f t="shared" si="7"/>
        <v>In Progress</v>
      </c>
      <c r="Q60" s="43"/>
      <c r="R60" s="43"/>
    </row>
    <row r="61" spans="1:18" ht="15" customHeight="1" x14ac:dyDescent="0.25">
      <c r="A61" s="53">
        <v>58</v>
      </c>
      <c r="B61" s="54" t="s">
        <v>42</v>
      </c>
      <c r="C61" s="53" t="s">
        <v>24</v>
      </c>
      <c r="D61" s="53" t="s">
        <v>60</v>
      </c>
      <c r="E61" s="53" t="s">
        <v>30</v>
      </c>
      <c r="F61" s="55">
        <v>45384</v>
      </c>
      <c r="G61" s="55">
        <v>45412</v>
      </c>
      <c r="H61" s="53">
        <f t="shared" si="4"/>
        <v>28</v>
      </c>
      <c r="I61" s="53" t="str">
        <f t="shared" si="5"/>
        <v>In Progress</v>
      </c>
      <c r="J61" s="56">
        <v>1</v>
      </c>
      <c r="K61" s="53" t="s">
        <v>27</v>
      </c>
      <c r="L61" s="57">
        <v>2000</v>
      </c>
      <c r="M61" s="53">
        <v>120</v>
      </c>
      <c r="N61" s="57">
        <f t="shared" si="6"/>
        <v>56000</v>
      </c>
      <c r="O61" s="53" t="s">
        <v>31</v>
      </c>
      <c r="P61" s="53" t="str">
        <f t="shared" si="7"/>
        <v>In Progress</v>
      </c>
      <c r="Q61" s="53"/>
      <c r="R61" s="53"/>
    </row>
    <row r="62" spans="1:18" ht="15" customHeight="1" x14ac:dyDescent="0.25">
      <c r="A62" s="48">
        <v>59</v>
      </c>
      <c r="B62" s="49" t="s">
        <v>44</v>
      </c>
      <c r="C62" s="48" t="s">
        <v>29</v>
      </c>
      <c r="D62" s="48" t="s">
        <v>52</v>
      </c>
      <c r="E62" s="48" t="s">
        <v>34</v>
      </c>
      <c r="F62" s="50">
        <v>45316</v>
      </c>
      <c r="G62" s="50">
        <v>45328</v>
      </c>
      <c r="H62" s="48">
        <f t="shared" si="4"/>
        <v>12</v>
      </c>
      <c r="I62" s="48" t="str">
        <f t="shared" si="5"/>
        <v>In Progress</v>
      </c>
      <c r="J62" s="51">
        <v>0.5</v>
      </c>
      <c r="K62" s="48" t="s">
        <v>27</v>
      </c>
      <c r="L62" s="52">
        <v>5500</v>
      </c>
      <c r="M62" s="48">
        <v>168</v>
      </c>
      <c r="N62" s="52">
        <f t="shared" si="6"/>
        <v>66000</v>
      </c>
      <c r="O62" s="48" t="s">
        <v>31</v>
      </c>
      <c r="P62" s="48" t="str">
        <f t="shared" si="7"/>
        <v>In Progress</v>
      </c>
      <c r="Q62" s="48"/>
      <c r="R62" s="48"/>
    </row>
    <row r="63" spans="1:18" ht="15" customHeight="1" x14ac:dyDescent="0.25">
      <c r="A63" s="48">
        <v>60</v>
      </c>
      <c r="B63" s="49" t="s">
        <v>46</v>
      </c>
      <c r="C63" s="48" t="s">
        <v>33</v>
      </c>
      <c r="D63" s="48" t="s">
        <v>53</v>
      </c>
      <c r="E63" s="48" t="s">
        <v>38</v>
      </c>
      <c r="F63" s="50">
        <v>45299</v>
      </c>
      <c r="G63" s="50">
        <v>45311</v>
      </c>
      <c r="H63" s="48">
        <f t="shared" si="4"/>
        <v>12</v>
      </c>
      <c r="I63" s="48" t="str">
        <f t="shared" si="5"/>
        <v>In Progress</v>
      </c>
      <c r="J63" s="51">
        <v>0.75</v>
      </c>
      <c r="K63" s="48" t="s">
        <v>51</v>
      </c>
      <c r="L63" s="52">
        <v>3500</v>
      </c>
      <c r="M63" s="48">
        <v>140</v>
      </c>
      <c r="N63" s="52">
        <f t="shared" si="6"/>
        <v>42000</v>
      </c>
      <c r="O63" s="48" t="s">
        <v>59</v>
      </c>
      <c r="P63" s="48" t="str">
        <f t="shared" si="7"/>
        <v>In Progress</v>
      </c>
      <c r="Q63" s="48"/>
      <c r="R63" s="48"/>
    </row>
    <row r="64" spans="1:18" ht="15" customHeight="1" x14ac:dyDescent="0.25">
      <c r="A64" s="43">
        <v>61</v>
      </c>
      <c r="B64" s="44" t="s">
        <v>17</v>
      </c>
      <c r="C64" s="43" t="s">
        <v>18</v>
      </c>
      <c r="D64" s="43" t="s">
        <v>54</v>
      </c>
      <c r="E64" s="43" t="s">
        <v>20</v>
      </c>
      <c r="F64" s="45">
        <v>45363</v>
      </c>
      <c r="G64" s="45">
        <v>45375</v>
      </c>
      <c r="H64" s="43">
        <f t="shared" si="4"/>
        <v>12</v>
      </c>
      <c r="I64" s="43" t="str">
        <f t="shared" si="5"/>
        <v>In Progress</v>
      </c>
      <c r="J64" s="46">
        <v>0.75</v>
      </c>
      <c r="K64" s="43" t="s">
        <v>21</v>
      </c>
      <c r="L64" s="47">
        <v>2000</v>
      </c>
      <c r="M64" s="43">
        <v>0</v>
      </c>
      <c r="N64" s="47">
        <f t="shared" si="6"/>
        <v>24000</v>
      </c>
      <c r="O64" s="43" t="s">
        <v>31</v>
      </c>
      <c r="P64" s="43" t="str">
        <f t="shared" si="7"/>
        <v>In Progress</v>
      </c>
      <c r="Q64" s="43"/>
      <c r="R64" s="43"/>
    </row>
    <row r="65" spans="1:18" ht="15" customHeight="1" x14ac:dyDescent="0.25">
      <c r="A65" s="53">
        <v>62</v>
      </c>
      <c r="B65" s="54" t="s">
        <v>23</v>
      </c>
      <c r="C65" s="53" t="s">
        <v>24</v>
      </c>
      <c r="D65" s="53" t="s">
        <v>25</v>
      </c>
      <c r="E65" s="53" t="s">
        <v>26</v>
      </c>
      <c r="F65" s="55">
        <v>45379</v>
      </c>
      <c r="G65" s="55">
        <v>45393</v>
      </c>
      <c r="H65" s="53">
        <f t="shared" si="4"/>
        <v>14</v>
      </c>
      <c r="I65" s="53" t="str">
        <f t="shared" si="5"/>
        <v>In Progress</v>
      </c>
      <c r="J65" s="56">
        <v>0.75</v>
      </c>
      <c r="K65" s="53" t="s">
        <v>27</v>
      </c>
      <c r="L65" s="57">
        <v>4200</v>
      </c>
      <c r="M65" s="53">
        <v>168</v>
      </c>
      <c r="N65" s="57">
        <f t="shared" si="6"/>
        <v>58800</v>
      </c>
      <c r="O65" s="53" t="s">
        <v>22</v>
      </c>
      <c r="P65" s="53" t="str">
        <f t="shared" si="7"/>
        <v>In Progress</v>
      </c>
      <c r="Q65" s="53"/>
      <c r="R65" s="53"/>
    </row>
    <row r="66" spans="1:18" ht="15" customHeight="1" x14ac:dyDescent="0.25">
      <c r="A66" s="43">
        <v>63</v>
      </c>
      <c r="B66" s="44" t="s">
        <v>28</v>
      </c>
      <c r="C66" s="43" t="s">
        <v>29</v>
      </c>
      <c r="D66" s="43" t="s">
        <v>57</v>
      </c>
      <c r="E66" s="43" t="s">
        <v>30</v>
      </c>
      <c r="F66" s="45">
        <v>45434</v>
      </c>
      <c r="G66" s="45">
        <v>45462</v>
      </c>
      <c r="H66" s="43">
        <f t="shared" si="4"/>
        <v>28</v>
      </c>
      <c r="I66" s="43" t="str">
        <f t="shared" si="5"/>
        <v>Not Started</v>
      </c>
      <c r="J66" s="46">
        <v>0</v>
      </c>
      <c r="K66" s="43" t="s">
        <v>21</v>
      </c>
      <c r="L66" s="47">
        <v>4000</v>
      </c>
      <c r="M66" s="43">
        <v>0</v>
      </c>
      <c r="N66" s="47">
        <f t="shared" si="6"/>
        <v>112000</v>
      </c>
      <c r="O66" s="43" t="s">
        <v>31</v>
      </c>
      <c r="P66" s="43" t="str">
        <f t="shared" si="7"/>
        <v>Not Started</v>
      </c>
      <c r="Q66" s="43"/>
      <c r="R66" s="43"/>
    </row>
    <row r="67" spans="1:18" ht="15" customHeight="1" x14ac:dyDescent="0.25">
      <c r="A67" s="48">
        <v>64</v>
      </c>
      <c r="B67" s="49" t="s">
        <v>32</v>
      </c>
      <c r="C67" s="48" t="s">
        <v>33</v>
      </c>
      <c r="D67" s="48" t="s">
        <v>57</v>
      </c>
      <c r="E67" s="48" t="s">
        <v>34</v>
      </c>
      <c r="F67" s="50">
        <v>45387</v>
      </c>
      <c r="G67" s="50">
        <v>45408</v>
      </c>
      <c r="H67" s="48">
        <f t="shared" si="4"/>
        <v>21</v>
      </c>
      <c r="I67" s="48" t="str">
        <f t="shared" si="5"/>
        <v>Not Started</v>
      </c>
      <c r="J67" s="51">
        <v>0</v>
      </c>
      <c r="K67" s="48" t="s">
        <v>27</v>
      </c>
      <c r="L67" s="52">
        <v>2000</v>
      </c>
      <c r="M67" s="48">
        <v>120</v>
      </c>
      <c r="N67" s="52">
        <f t="shared" si="6"/>
        <v>42000</v>
      </c>
      <c r="O67" s="48" t="s">
        <v>59</v>
      </c>
      <c r="P67" s="48" t="str">
        <f t="shared" si="7"/>
        <v>Not Started</v>
      </c>
      <c r="Q67" s="48"/>
      <c r="R67" s="48"/>
    </row>
    <row r="68" spans="1:18" ht="15" customHeight="1" x14ac:dyDescent="0.25">
      <c r="A68" s="48">
        <v>65</v>
      </c>
      <c r="B68" s="49" t="s">
        <v>36</v>
      </c>
      <c r="C68" s="48" t="s">
        <v>18</v>
      </c>
      <c r="D68" s="48" t="s">
        <v>57</v>
      </c>
      <c r="E68" s="48" t="s">
        <v>38</v>
      </c>
      <c r="F68" s="50">
        <v>45392</v>
      </c>
      <c r="G68" s="50">
        <v>45404</v>
      </c>
      <c r="H68" s="48">
        <f t="shared" ref="H68:H99" si="8">IF(OR(F68="",G68=""),"",G68-F68)</f>
        <v>12</v>
      </c>
      <c r="I68" s="48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1">
        <v>0.75</v>
      </c>
      <c r="K68" s="48" t="s">
        <v>51</v>
      </c>
      <c r="L68" s="52">
        <v>4000</v>
      </c>
      <c r="M68" s="48">
        <v>60</v>
      </c>
      <c r="N68" s="52">
        <f t="shared" ref="N68:N99" si="10">IF(OR(L68="",H68=""),"",L68*H68)</f>
        <v>48000</v>
      </c>
      <c r="O68" s="48" t="s">
        <v>31</v>
      </c>
      <c r="P68" s="48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48"/>
      <c r="R68" s="48"/>
    </row>
    <row r="69" spans="1:18" ht="15" customHeight="1" x14ac:dyDescent="0.25">
      <c r="A69" s="43">
        <v>66</v>
      </c>
      <c r="B69" s="44" t="s">
        <v>39</v>
      </c>
      <c r="C69" s="43" t="s">
        <v>24</v>
      </c>
      <c r="D69" s="43" t="s">
        <v>56</v>
      </c>
      <c r="E69" s="43" t="s">
        <v>20</v>
      </c>
      <c r="F69" s="45">
        <v>45294</v>
      </c>
      <c r="G69" s="45">
        <v>45315</v>
      </c>
      <c r="H69" s="43">
        <f t="shared" si="8"/>
        <v>21</v>
      </c>
      <c r="I69" s="43" t="str">
        <f t="shared" si="9"/>
        <v>Not Started</v>
      </c>
      <c r="J69" s="46">
        <v>0</v>
      </c>
      <c r="K69" s="43" t="s">
        <v>27</v>
      </c>
      <c r="L69" s="47">
        <v>5500</v>
      </c>
      <c r="M69" s="43">
        <v>0</v>
      </c>
      <c r="N69" s="47">
        <f t="shared" si="10"/>
        <v>115500</v>
      </c>
      <c r="O69" s="43" t="s">
        <v>22</v>
      </c>
      <c r="P69" s="43" t="str">
        <f t="shared" si="11"/>
        <v>Not Started</v>
      </c>
      <c r="Q69" s="43"/>
      <c r="R69" s="43"/>
    </row>
    <row r="70" spans="1:18" ht="15" customHeight="1" x14ac:dyDescent="0.25">
      <c r="A70" s="48">
        <v>67</v>
      </c>
      <c r="B70" s="49" t="s">
        <v>40</v>
      </c>
      <c r="C70" s="48" t="s">
        <v>29</v>
      </c>
      <c r="D70" s="48" t="s">
        <v>58</v>
      </c>
      <c r="E70" s="48" t="s">
        <v>26</v>
      </c>
      <c r="F70" s="50">
        <v>45361</v>
      </c>
      <c r="G70" s="50">
        <v>45371</v>
      </c>
      <c r="H70" s="48">
        <f t="shared" si="8"/>
        <v>10</v>
      </c>
      <c r="I70" s="48" t="str">
        <f t="shared" si="9"/>
        <v>In Progress</v>
      </c>
      <c r="J70" s="51">
        <v>0.4</v>
      </c>
      <c r="K70" s="48" t="s">
        <v>21</v>
      </c>
      <c r="L70" s="52">
        <v>3000</v>
      </c>
      <c r="M70" s="48">
        <v>160</v>
      </c>
      <c r="N70" s="52">
        <f t="shared" si="10"/>
        <v>30000</v>
      </c>
      <c r="O70" s="48" t="s">
        <v>31</v>
      </c>
      <c r="P70" s="48" t="str">
        <f t="shared" si="11"/>
        <v>In Progress</v>
      </c>
      <c r="Q70" s="48"/>
      <c r="R70" s="48"/>
    </row>
    <row r="71" spans="1:18" ht="15" customHeight="1" x14ac:dyDescent="0.25">
      <c r="A71" s="48">
        <v>68</v>
      </c>
      <c r="B71" s="49" t="s">
        <v>42</v>
      </c>
      <c r="C71" s="48" t="s">
        <v>33</v>
      </c>
      <c r="D71" s="48" t="s">
        <v>41</v>
      </c>
      <c r="E71" s="48" t="s">
        <v>30</v>
      </c>
      <c r="F71" s="50">
        <v>45326</v>
      </c>
      <c r="G71" s="50">
        <v>45340</v>
      </c>
      <c r="H71" s="48">
        <f t="shared" si="8"/>
        <v>14</v>
      </c>
      <c r="I71" s="48" t="str">
        <f t="shared" si="9"/>
        <v>In Progress</v>
      </c>
      <c r="J71" s="51">
        <v>0.25</v>
      </c>
      <c r="K71" s="48" t="s">
        <v>43</v>
      </c>
      <c r="L71" s="52">
        <v>2000</v>
      </c>
      <c r="M71" s="48">
        <v>80</v>
      </c>
      <c r="N71" s="52">
        <f t="shared" si="10"/>
        <v>28000</v>
      </c>
      <c r="O71" s="48" t="s">
        <v>31</v>
      </c>
      <c r="P71" s="48" t="str">
        <f t="shared" si="11"/>
        <v>In Progress</v>
      </c>
      <c r="Q71" s="48"/>
      <c r="R71" s="48"/>
    </row>
    <row r="72" spans="1:18" ht="15" customHeight="1" x14ac:dyDescent="0.25">
      <c r="A72" s="53">
        <v>69</v>
      </c>
      <c r="B72" s="54" t="s">
        <v>44</v>
      </c>
      <c r="C72" s="53" t="s">
        <v>18</v>
      </c>
      <c r="D72" s="53" t="s">
        <v>45</v>
      </c>
      <c r="E72" s="53" t="s">
        <v>34</v>
      </c>
      <c r="F72" s="55">
        <v>45346</v>
      </c>
      <c r="G72" s="55">
        <v>45367</v>
      </c>
      <c r="H72" s="53">
        <f t="shared" si="8"/>
        <v>21</v>
      </c>
      <c r="I72" s="53" t="str">
        <f t="shared" si="9"/>
        <v>In Progress</v>
      </c>
      <c r="J72" s="56">
        <v>0.25</v>
      </c>
      <c r="K72" s="53" t="s">
        <v>21</v>
      </c>
      <c r="L72" s="57">
        <v>4000</v>
      </c>
      <c r="M72" s="53">
        <v>80</v>
      </c>
      <c r="N72" s="57">
        <f t="shared" si="10"/>
        <v>84000</v>
      </c>
      <c r="O72" s="53" t="s">
        <v>49</v>
      </c>
      <c r="P72" s="53" t="str">
        <f t="shared" si="11"/>
        <v>In Progress</v>
      </c>
      <c r="Q72" s="53"/>
      <c r="R72" s="53"/>
    </row>
    <row r="73" spans="1:18" ht="15" customHeight="1" x14ac:dyDescent="0.25">
      <c r="A73" s="53">
        <v>70</v>
      </c>
      <c r="B73" s="54" t="s">
        <v>46</v>
      </c>
      <c r="C73" s="53" t="s">
        <v>24</v>
      </c>
      <c r="D73" s="53" t="s">
        <v>47</v>
      </c>
      <c r="E73" s="53" t="s">
        <v>38</v>
      </c>
      <c r="F73" s="55">
        <v>45381</v>
      </c>
      <c r="G73" s="55">
        <v>45391</v>
      </c>
      <c r="H73" s="53">
        <f t="shared" si="8"/>
        <v>10</v>
      </c>
      <c r="I73" s="53" t="str">
        <f t="shared" si="9"/>
        <v>In Progress</v>
      </c>
      <c r="J73" s="56">
        <v>0.5</v>
      </c>
      <c r="K73" s="53" t="s">
        <v>21</v>
      </c>
      <c r="L73" s="57">
        <v>2000</v>
      </c>
      <c r="M73" s="53">
        <v>60</v>
      </c>
      <c r="N73" s="57">
        <f t="shared" si="10"/>
        <v>20000</v>
      </c>
      <c r="O73" s="53" t="s">
        <v>31</v>
      </c>
      <c r="P73" s="53" t="str">
        <f t="shared" si="11"/>
        <v>In Progress</v>
      </c>
      <c r="Q73" s="53"/>
      <c r="R73" s="53"/>
    </row>
    <row r="74" spans="1:18" ht="15" customHeight="1" x14ac:dyDescent="0.25">
      <c r="A74" s="48">
        <v>71</v>
      </c>
      <c r="B74" s="49" t="s">
        <v>17</v>
      </c>
      <c r="C74" s="48" t="s">
        <v>29</v>
      </c>
      <c r="D74" s="48" t="s">
        <v>48</v>
      </c>
      <c r="E74" s="48" t="s">
        <v>20</v>
      </c>
      <c r="F74" s="50">
        <v>45424</v>
      </c>
      <c r="G74" s="50">
        <v>45438</v>
      </c>
      <c r="H74" s="48">
        <f t="shared" si="8"/>
        <v>14</v>
      </c>
      <c r="I74" s="48" t="str">
        <f t="shared" si="9"/>
        <v>Not Started</v>
      </c>
      <c r="J74" s="51">
        <v>0</v>
      </c>
      <c r="K74" s="48" t="s">
        <v>27</v>
      </c>
      <c r="L74" s="52">
        <v>4200</v>
      </c>
      <c r="M74" s="48">
        <v>140</v>
      </c>
      <c r="N74" s="52">
        <f t="shared" si="10"/>
        <v>58800</v>
      </c>
      <c r="O74" s="48" t="s">
        <v>31</v>
      </c>
      <c r="P74" s="48" t="str">
        <f t="shared" si="11"/>
        <v>Not Started</v>
      </c>
      <c r="Q74" s="48"/>
      <c r="R74" s="48"/>
    </row>
    <row r="75" spans="1:18" ht="15" customHeight="1" x14ac:dyDescent="0.25">
      <c r="A75" s="53">
        <v>72</v>
      </c>
      <c r="B75" s="54" t="s">
        <v>23</v>
      </c>
      <c r="C75" s="53" t="s">
        <v>33</v>
      </c>
      <c r="D75" s="53" t="s">
        <v>48</v>
      </c>
      <c r="E75" s="53" t="s">
        <v>26</v>
      </c>
      <c r="F75" s="55">
        <v>45307</v>
      </c>
      <c r="G75" s="55">
        <v>45314</v>
      </c>
      <c r="H75" s="53">
        <f t="shared" si="8"/>
        <v>7</v>
      </c>
      <c r="I75" s="53" t="str">
        <f t="shared" si="9"/>
        <v>In Progress</v>
      </c>
      <c r="J75" s="56">
        <v>0.5</v>
      </c>
      <c r="K75" s="53" t="s">
        <v>21</v>
      </c>
      <c r="L75" s="57">
        <v>2000</v>
      </c>
      <c r="M75" s="53">
        <v>160</v>
      </c>
      <c r="N75" s="57">
        <f t="shared" si="10"/>
        <v>14000</v>
      </c>
      <c r="O75" s="53" t="s">
        <v>35</v>
      </c>
      <c r="P75" s="53" t="str">
        <f t="shared" si="11"/>
        <v>In Progress</v>
      </c>
      <c r="Q75" s="53"/>
      <c r="R75" s="53"/>
    </row>
    <row r="76" spans="1:18" ht="15" customHeight="1" x14ac:dyDescent="0.25">
      <c r="A76" s="53">
        <v>73</v>
      </c>
      <c r="B76" s="54" t="s">
        <v>28</v>
      </c>
      <c r="C76" s="53" t="s">
        <v>18</v>
      </c>
      <c r="D76" s="53" t="s">
        <v>60</v>
      </c>
      <c r="E76" s="53" t="s">
        <v>30</v>
      </c>
      <c r="F76" s="55">
        <v>45294</v>
      </c>
      <c r="G76" s="55">
        <v>45315</v>
      </c>
      <c r="H76" s="53">
        <f t="shared" si="8"/>
        <v>21</v>
      </c>
      <c r="I76" s="53" t="str">
        <f t="shared" si="9"/>
        <v>In Progress</v>
      </c>
      <c r="J76" s="56">
        <v>0.25</v>
      </c>
      <c r="K76" s="53" t="s">
        <v>21</v>
      </c>
      <c r="L76" s="57">
        <v>2000</v>
      </c>
      <c r="M76" s="53">
        <v>80</v>
      </c>
      <c r="N76" s="57">
        <f t="shared" si="10"/>
        <v>42000</v>
      </c>
      <c r="O76" s="53" t="s">
        <v>55</v>
      </c>
      <c r="P76" s="53" t="str">
        <f t="shared" si="11"/>
        <v>In Progress</v>
      </c>
      <c r="Q76" s="53"/>
      <c r="R76" s="53"/>
    </row>
    <row r="77" spans="1:18" ht="15" customHeight="1" x14ac:dyDescent="0.25">
      <c r="A77" s="48">
        <v>74</v>
      </c>
      <c r="B77" s="49" t="s">
        <v>32</v>
      </c>
      <c r="C77" s="48" t="s">
        <v>24</v>
      </c>
      <c r="D77" s="48" t="s">
        <v>60</v>
      </c>
      <c r="E77" s="48" t="s">
        <v>34</v>
      </c>
      <c r="F77" s="50">
        <v>45357</v>
      </c>
      <c r="G77" s="50">
        <v>45369</v>
      </c>
      <c r="H77" s="48">
        <f t="shared" si="8"/>
        <v>12</v>
      </c>
      <c r="I77" s="48" t="str">
        <f t="shared" si="9"/>
        <v>In Progress</v>
      </c>
      <c r="J77" s="51">
        <v>0.4</v>
      </c>
      <c r="K77" s="48" t="s">
        <v>43</v>
      </c>
      <c r="L77" s="52">
        <v>3500</v>
      </c>
      <c r="M77" s="48">
        <v>80</v>
      </c>
      <c r="N77" s="52">
        <f t="shared" si="10"/>
        <v>42000</v>
      </c>
      <c r="O77" s="48" t="s">
        <v>31</v>
      </c>
      <c r="P77" s="48" t="str">
        <f t="shared" si="11"/>
        <v>In Progress</v>
      </c>
      <c r="Q77" s="48"/>
      <c r="R77" s="48"/>
    </row>
    <row r="78" spans="1:18" ht="15" customHeight="1" x14ac:dyDescent="0.25">
      <c r="A78" s="43">
        <v>75</v>
      </c>
      <c r="B78" s="44" t="s">
        <v>36</v>
      </c>
      <c r="C78" s="43" t="s">
        <v>29</v>
      </c>
      <c r="D78" s="43" t="s">
        <v>19</v>
      </c>
      <c r="E78" s="43" t="s">
        <v>38</v>
      </c>
      <c r="F78" s="45">
        <v>45321</v>
      </c>
      <c r="G78" s="45">
        <v>45331</v>
      </c>
      <c r="H78" s="43">
        <f t="shared" si="8"/>
        <v>10</v>
      </c>
      <c r="I78" s="43" t="str">
        <f t="shared" si="9"/>
        <v>Not Started</v>
      </c>
      <c r="J78" s="46">
        <v>0</v>
      </c>
      <c r="K78" s="43" t="s">
        <v>51</v>
      </c>
      <c r="L78" s="47">
        <v>2000</v>
      </c>
      <c r="M78" s="43">
        <v>60</v>
      </c>
      <c r="N78" s="47">
        <f t="shared" si="10"/>
        <v>20000</v>
      </c>
      <c r="O78" s="43" t="s">
        <v>31</v>
      </c>
      <c r="P78" s="43" t="str">
        <f t="shared" si="11"/>
        <v>Not Started</v>
      </c>
      <c r="Q78" s="43"/>
      <c r="R78" s="43"/>
    </row>
    <row r="79" spans="1:18" ht="15" customHeight="1" x14ac:dyDescent="0.25">
      <c r="A79" s="43">
        <v>76</v>
      </c>
      <c r="B79" s="44" t="s">
        <v>39</v>
      </c>
      <c r="C79" s="43" t="s">
        <v>33</v>
      </c>
      <c r="D79" s="43" t="s">
        <v>52</v>
      </c>
      <c r="E79" s="43" t="s">
        <v>20</v>
      </c>
      <c r="F79" s="45">
        <v>45431</v>
      </c>
      <c r="G79" s="45">
        <v>45445</v>
      </c>
      <c r="H79" s="43">
        <f t="shared" si="8"/>
        <v>14</v>
      </c>
      <c r="I79" s="43" t="str">
        <f t="shared" si="9"/>
        <v>In Progress</v>
      </c>
      <c r="J79" s="46">
        <v>0.4</v>
      </c>
      <c r="K79" s="43" t="s">
        <v>21</v>
      </c>
      <c r="L79" s="47">
        <v>5000</v>
      </c>
      <c r="M79" s="43">
        <v>0</v>
      </c>
      <c r="N79" s="47">
        <f t="shared" si="10"/>
        <v>70000</v>
      </c>
      <c r="O79" s="43" t="s">
        <v>31</v>
      </c>
      <c r="P79" s="43" t="str">
        <f t="shared" si="11"/>
        <v>In Progress</v>
      </c>
      <c r="Q79" s="43"/>
      <c r="R79" s="43"/>
    </row>
    <row r="80" spans="1:18" ht="15" customHeight="1" x14ac:dyDescent="0.25">
      <c r="A80" s="53">
        <v>77</v>
      </c>
      <c r="B80" s="54" t="s">
        <v>40</v>
      </c>
      <c r="C80" s="53" t="s">
        <v>18</v>
      </c>
      <c r="D80" s="53" t="s">
        <v>19</v>
      </c>
      <c r="E80" s="53" t="s">
        <v>26</v>
      </c>
      <c r="F80" s="55">
        <v>45426</v>
      </c>
      <c r="G80" s="55">
        <v>45433</v>
      </c>
      <c r="H80" s="53">
        <f t="shared" si="8"/>
        <v>7</v>
      </c>
      <c r="I80" s="53" t="str">
        <f t="shared" si="9"/>
        <v>In Progress</v>
      </c>
      <c r="J80" s="56">
        <v>0.25</v>
      </c>
      <c r="K80" s="53" t="s">
        <v>21</v>
      </c>
      <c r="L80" s="57">
        <v>3000</v>
      </c>
      <c r="M80" s="53">
        <v>100</v>
      </c>
      <c r="N80" s="57">
        <f t="shared" si="10"/>
        <v>21000</v>
      </c>
      <c r="O80" s="53" t="s">
        <v>31</v>
      </c>
      <c r="P80" s="53" t="str">
        <f t="shared" si="11"/>
        <v>In Progress</v>
      </c>
      <c r="Q80" s="53"/>
      <c r="R80" s="53"/>
    </row>
    <row r="81" spans="1:18" ht="15" customHeight="1" x14ac:dyDescent="0.25">
      <c r="A81" s="43">
        <v>78</v>
      </c>
      <c r="B81" s="44" t="s">
        <v>42</v>
      </c>
      <c r="C81" s="43" t="s">
        <v>24</v>
      </c>
      <c r="D81" s="43" t="s">
        <v>57</v>
      </c>
      <c r="E81" s="43" t="s">
        <v>30</v>
      </c>
      <c r="F81" s="45">
        <v>45346</v>
      </c>
      <c r="G81" s="45">
        <v>45367</v>
      </c>
      <c r="H81" s="43">
        <f t="shared" si="8"/>
        <v>21</v>
      </c>
      <c r="I81" s="43" t="str">
        <f t="shared" si="9"/>
        <v>In Progress</v>
      </c>
      <c r="J81" s="46">
        <v>1</v>
      </c>
      <c r="K81" s="43" t="s">
        <v>21</v>
      </c>
      <c r="L81" s="47">
        <v>3500</v>
      </c>
      <c r="M81" s="43">
        <v>120</v>
      </c>
      <c r="N81" s="47">
        <f t="shared" si="10"/>
        <v>73500</v>
      </c>
      <c r="O81" s="43" t="s">
        <v>55</v>
      </c>
      <c r="P81" s="43" t="str">
        <f t="shared" si="11"/>
        <v>In Progress</v>
      </c>
      <c r="Q81" s="43"/>
      <c r="R81" s="43"/>
    </row>
    <row r="82" spans="1:18" ht="15" customHeight="1" x14ac:dyDescent="0.25">
      <c r="A82" s="43">
        <v>79</v>
      </c>
      <c r="B82" s="44" t="s">
        <v>44</v>
      </c>
      <c r="C82" s="43" t="s">
        <v>29</v>
      </c>
      <c r="D82" s="43" t="s">
        <v>57</v>
      </c>
      <c r="E82" s="43" t="s">
        <v>34</v>
      </c>
      <c r="F82" s="45">
        <v>45305</v>
      </c>
      <c r="G82" s="45">
        <v>45319</v>
      </c>
      <c r="H82" s="43">
        <f t="shared" si="8"/>
        <v>14</v>
      </c>
      <c r="I82" s="43" t="str">
        <f t="shared" si="9"/>
        <v>In Progress</v>
      </c>
      <c r="J82" s="46">
        <v>0.4</v>
      </c>
      <c r="K82" s="43" t="s">
        <v>43</v>
      </c>
      <c r="L82" s="47">
        <v>3500</v>
      </c>
      <c r="M82" s="43">
        <v>100</v>
      </c>
      <c r="N82" s="47">
        <f t="shared" si="10"/>
        <v>49000</v>
      </c>
      <c r="O82" s="43" t="s">
        <v>22</v>
      </c>
      <c r="P82" s="43" t="str">
        <f t="shared" si="11"/>
        <v>In Progress</v>
      </c>
      <c r="Q82" s="43"/>
      <c r="R82" s="43"/>
    </row>
    <row r="83" spans="1:18" ht="15" customHeight="1" x14ac:dyDescent="0.25">
      <c r="A83" s="48">
        <v>80</v>
      </c>
      <c r="B83" s="49" t="s">
        <v>46</v>
      </c>
      <c r="C83" s="48" t="s">
        <v>33</v>
      </c>
      <c r="D83" s="48" t="s">
        <v>37</v>
      </c>
      <c r="E83" s="48" t="s">
        <v>38</v>
      </c>
      <c r="F83" s="50">
        <v>45300</v>
      </c>
      <c r="G83" s="50">
        <v>45328</v>
      </c>
      <c r="H83" s="48">
        <f t="shared" si="8"/>
        <v>28</v>
      </c>
      <c r="I83" s="48" t="str">
        <f t="shared" si="9"/>
        <v>In Progress</v>
      </c>
      <c r="J83" s="51">
        <v>1</v>
      </c>
      <c r="K83" s="48" t="s">
        <v>43</v>
      </c>
      <c r="L83" s="52">
        <v>3000</v>
      </c>
      <c r="M83" s="48">
        <v>160</v>
      </c>
      <c r="N83" s="52">
        <f t="shared" si="10"/>
        <v>84000</v>
      </c>
      <c r="O83" s="48" t="s">
        <v>55</v>
      </c>
      <c r="P83" s="48" t="str">
        <f t="shared" si="11"/>
        <v>In Progress</v>
      </c>
      <c r="Q83" s="48"/>
      <c r="R83" s="48"/>
    </row>
    <row r="84" spans="1:18" ht="15" customHeight="1" x14ac:dyDescent="0.25">
      <c r="A84" s="53">
        <v>81</v>
      </c>
      <c r="B84" s="54" t="s">
        <v>17</v>
      </c>
      <c r="C84" s="53" t="s">
        <v>18</v>
      </c>
      <c r="D84" s="53" t="s">
        <v>58</v>
      </c>
      <c r="E84" s="53" t="s">
        <v>20</v>
      </c>
      <c r="F84" s="55">
        <v>45306</v>
      </c>
      <c r="G84" s="55">
        <v>45313</v>
      </c>
      <c r="H84" s="53">
        <f t="shared" si="8"/>
        <v>7</v>
      </c>
      <c r="I84" s="53" t="str">
        <f t="shared" si="9"/>
        <v>Not Started</v>
      </c>
      <c r="J84" s="56">
        <v>0</v>
      </c>
      <c r="K84" s="53" t="s">
        <v>27</v>
      </c>
      <c r="L84" s="57">
        <v>3000</v>
      </c>
      <c r="M84" s="53">
        <v>160</v>
      </c>
      <c r="N84" s="57">
        <f t="shared" si="10"/>
        <v>21000</v>
      </c>
      <c r="O84" s="53" t="s">
        <v>31</v>
      </c>
      <c r="P84" s="53" t="str">
        <f t="shared" si="11"/>
        <v>Not Started</v>
      </c>
      <c r="Q84" s="53"/>
      <c r="R84" s="53"/>
    </row>
    <row r="85" spans="1:18" ht="15" customHeight="1" x14ac:dyDescent="0.25">
      <c r="A85" s="53">
        <v>82</v>
      </c>
      <c r="B85" s="54" t="s">
        <v>23</v>
      </c>
      <c r="C85" s="53" t="s">
        <v>24</v>
      </c>
      <c r="D85" s="53" t="s">
        <v>58</v>
      </c>
      <c r="E85" s="53" t="s">
        <v>26</v>
      </c>
      <c r="F85" s="55">
        <v>45333</v>
      </c>
      <c r="G85" s="55">
        <v>45347</v>
      </c>
      <c r="H85" s="53">
        <f t="shared" si="8"/>
        <v>14</v>
      </c>
      <c r="I85" s="53" t="str">
        <f t="shared" si="9"/>
        <v>In Progress</v>
      </c>
      <c r="J85" s="56">
        <v>0.75</v>
      </c>
      <c r="K85" s="53" t="s">
        <v>51</v>
      </c>
      <c r="L85" s="57">
        <v>5000</v>
      </c>
      <c r="M85" s="53">
        <v>100</v>
      </c>
      <c r="N85" s="57">
        <f t="shared" si="10"/>
        <v>70000</v>
      </c>
      <c r="O85" s="53" t="s">
        <v>59</v>
      </c>
      <c r="P85" s="53" t="str">
        <f t="shared" si="11"/>
        <v>In Progress</v>
      </c>
      <c r="Q85" s="53"/>
      <c r="R85" s="53"/>
    </row>
    <row r="86" spans="1:18" ht="15" customHeight="1" x14ac:dyDescent="0.25">
      <c r="A86" s="48">
        <v>83</v>
      </c>
      <c r="B86" s="49" t="s">
        <v>28</v>
      </c>
      <c r="C86" s="48" t="s">
        <v>29</v>
      </c>
      <c r="D86" s="48" t="s">
        <v>41</v>
      </c>
      <c r="E86" s="48" t="s">
        <v>30</v>
      </c>
      <c r="F86" s="50">
        <v>45309</v>
      </c>
      <c r="G86" s="50">
        <v>45321</v>
      </c>
      <c r="H86" s="48">
        <f t="shared" si="8"/>
        <v>12</v>
      </c>
      <c r="I86" s="48" t="str">
        <f t="shared" si="9"/>
        <v>In Progress</v>
      </c>
      <c r="J86" s="51">
        <v>0.75</v>
      </c>
      <c r="K86" s="48" t="s">
        <v>21</v>
      </c>
      <c r="L86" s="52">
        <v>2000</v>
      </c>
      <c r="M86" s="48">
        <v>0</v>
      </c>
      <c r="N86" s="52">
        <f t="shared" si="10"/>
        <v>24000</v>
      </c>
      <c r="O86" s="48" t="s">
        <v>35</v>
      </c>
      <c r="P86" s="48" t="str">
        <f t="shared" si="11"/>
        <v>In Progress</v>
      </c>
      <c r="Q86" s="48"/>
      <c r="R86" s="48"/>
    </row>
    <row r="87" spans="1:18" ht="15" customHeight="1" x14ac:dyDescent="0.25">
      <c r="A87" s="43">
        <v>84</v>
      </c>
      <c r="B87" s="44" t="s">
        <v>32</v>
      </c>
      <c r="C87" s="43" t="s">
        <v>33</v>
      </c>
      <c r="D87" s="43" t="s">
        <v>47</v>
      </c>
      <c r="E87" s="43" t="s">
        <v>34</v>
      </c>
      <c r="F87" s="45">
        <v>45308</v>
      </c>
      <c r="G87" s="45">
        <v>45322</v>
      </c>
      <c r="H87" s="43">
        <f t="shared" si="8"/>
        <v>14</v>
      </c>
      <c r="I87" s="43" t="str">
        <f t="shared" si="9"/>
        <v>In Progress</v>
      </c>
      <c r="J87" s="46">
        <v>0.4</v>
      </c>
      <c r="K87" s="43" t="s">
        <v>43</v>
      </c>
      <c r="L87" s="47">
        <v>4200</v>
      </c>
      <c r="M87" s="43">
        <v>140</v>
      </c>
      <c r="N87" s="47">
        <f t="shared" si="10"/>
        <v>58800</v>
      </c>
      <c r="O87" s="43" t="s">
        <v>49</v>
      </c>
      <c r="P87" s="43" t="str">
        <f t="shared" si="11"/>
        <v>In Progress</v>
      </c>
      <c r="Q87" s="43"/>
      <c r="R87" s="43"/>
    </row>
    <row r="88" spans="1:18" ht="15" customHeight="1" x14ac:dyDescent="0.25">
      <c r="A88" s="53">
        <v>85</v>
      </c>
      <c r="B88" s="54" t="s">
        <v>36</v>
      </c>
      <c r="C88" s="53" t="s">
        <v>18</v>
      </c>
      <c r="D88" s="53" t="s">
        <v>45</v>
      </c>
      <c r="E88" s="53" t="s">
        <v>38</v>
      </c>
      <c r="F88" s="55">
        <v>45394</v>
      </c>
      <c r="G88" s="55">
        <v>45408</v>
      </c>
      <c r="H88" s="53">
        <f t="shared" si="8"/>
        <v>14</v>
      </c>
      <c r="I88" s="53" t="str">
        <f t="shared" si="9"/>
        <v>In Progress</v>
      </c>
      <c r="J88" s="56">
        <v>0.75</v>
      </c>
      <c r="K88" s="53" t="s">
        <v>43</v>
      </c>
      <c r="L88" s="57">
        <v>5000</v>
      </c>
      <c r="M88" s="53">
        <v>100</v>
      </c>
      <c r="N88" s="57">
        <f t="shared" si="10"/>
        <v>70000</v>
      </c>
      <c r="O88" s="53" t="s">
        <v>31</v>
      </c>
      <c r="P88" s="53" t="str">
        <f t="shared" si="11"/>
        <v>In Progress</v>
      </c>
      <c r="Q88" s="53"/>
      <c r="R88" s="53"/>
    </row>
    <row r="89" spans="1:18" ht="15" customHeight="1" x14ac:dyDescent="0.25">
      <c r="A89" s="48">
        <v>86</v>
      </c>
      <c r="B89" s="49" t="s">
        <v>39</v>
      </c>
      <c r="C89" s="48" t="s">
        <v>24</v>
      </c>
      <c r="D89" s="48" t="s">
        <v>48</v>
      </c>
      <c r="E89" s="48" t="s">
        <v>20</v>
      </c>
      <c r="F89" s="50">
        <v>45324</v>
      </c>
      <c r="G89" s="50">
        <v>45345</v>
      </c>
      <c r="H89" s="48">
        <f t="shared" si="8"/>
        <v>21</v>
      </c>
      <c r="I89" s="48" t="str">
        <f t="shared" si="9"/>
        <v>In Progress</v>
      </c>
      <c r="J89" s="51">
        <v>0.25</v>
      </c>
      <c r="K89" s="48" t="s">
        <v>51</v>
      </c>
      <c r="L89" s="52">
        <v>3500</v>
      </c>
      <c r="M89" s="48">
        <v>0</v>
      </c>
      <c r="N89" s="52">
        <f t="shared" si="10"/>
        <v>73500</v>
      </c>
      <c r="O89" s="48" t="s">
        <v>31</v>
      </c>
      <c r="P89" s="48" t="str">
        <f t="shared" si="11"/>
        <v>In Progress</v>
      </c>
      <c r="Q89" s="48"/>
      <c r="R89" s="48"/>
    </row>
    <row r="90" spans="1:18" ht="15" customHeight="1" x14ac:dyDescent="0.25">
      <c r="A90" s="53">
        <v>87</v>
      </c>
      <c r="B90" s="54" t="s">
        <v>40</v>
      </c>
      <c r="C90" s="53" t="s">
        <v>29</v>
      </c>
      <c r="D90" s="53" t="s">
        <v>60</v>
      </c>
      <c r="E90" s="53" t="s">
        <v>26</v>
      </c>
      <c r="F90" s="55">
        <v>45373</v>
      </c>
      <c r="G90" s="55">
        <v>45394</v>
      </c>
      <c r="H90" s="53">
        <f t="shared" si="8"/>
        <v>21</v>
      </c>
      <c r="I90" s="53" t="str">
        <f t="shared" si="9"/>
        <v>Not Started</v>
      </c>
      <c r="J90" s="56">
        <v>0</v>
      </c>
      <c r="K90" s="53" t="s">
        <v>27</v>
      </c>
      <c r="L90" s="57">
        <v>5500</v>
      </c>
      <c r="M90" s="53">
        <v>140</v>
      </c>
      <c r="N90" s="57">
        <f t="shared" si="10"/>
        <v>115500</v>
      </c>
      <c r="O90" s="53" t="s">
        <v>31</v>
      </c>
      <c r="P90" s="53" t="str">
        <f t="shared" si="11"/>
        <v>Not Started</v>
      </c>
      <c r="Q90" s="53"/>
      <c r="R90" s="53"/>
    </row>
    <row r="91" spans="1:18" ht="15" customHeight="1" x14ac:dyDescent="0.25">
      <c r="A91" s="53">
        <v>88</v>
      </c>
      <c r="B91" s="54" t="s">
        <v>42</v>
      </c>
      <c r="C91" s="53" t="s">
        <v>33</v>
      </c>
      <c r="D91" s="53" t="s">
        <v>53</v>
      </c>
      <c r="E91" s="53" t="s">
        <v>30</v>
      </c>
      <c r="F91" s="55">
        <v>45355</v>
      </c>
      <c r="G91" s="55">
        <v>45369</v>
      </c>
      <c r="H91" s="53">
        <f t="shared" si="8"/>
        <v>14</v>
      </c>
      <c r="I91" s="53" t="str">
        <f t="shared" si="9"/>
        <v>In Progress</v>
      </c>
      <c r="J91" s="56">
        <v>0.5</v>
      </c>
      <c r="K91" s="53" t="s">
        <v>27</v>
      </c>
      <c r="L91" s="57">
        <v>3000</v>
      </c>
      <c r="M91" s="53">
        <v>60</v>
      </c>
      <c r="N91" s="57">
        <f t="shared" si="10"/>
        <v>42000</v>
      </c>
      <c r="O91" s="53" t="s">
        <v>49</v>
      </c>
      <c r="P91" s="53" t="str">
        <f t="shared" si="11"/>
        <v>In Progress</v>
      </c>
      <c r="Q91" s="53"/>
      <c r="R91" s="53"/>
    </row>
    <row r="92" spans="1:18" ht="15" customHeight="1" x14ac:dyDescent="0.25">
      <c r="A92" s="48">
        <v>89</v>
      </c>
      <c r="B92" s="49" t="s">
        <v>44</v>
      </c>
      <c r="C92" s="48" t="s">
        <v>18</v>
      </c>
      <c r="D92" s="48" t="s">
        <v>53</v>
      </c>
      <c r="E92" s="48" t="s">
        <v>34</v>
      </c>
      <c r="F92" s="50">
        <v>45350</v>
      </c>
      <c r="G92" s="50">
        <v>45364</v>
      </c>
      <c r="H92" s="48">
        <f t="shared" si="8"/>
        <v>14</v>
      </c>
      <c r="I92" s="48" t="str">
        <f t="shared" si="9"/>
        <v>In Progress</v>
      </c>
      <c r="J92" s="51">
        <v>0.4</v>
      </c>
      <c r="K92" s="48" t="s">
        <v>43</v>
      </c>
      <c r="L92" s="52">
        <v>3000</v>
      </c>
      <c r="M92" s="48">
        <v>160</v>
      </c>
      <c r="N92" s="52">
        <f t="shared" si="10"/>
        <v>42000</v>
      </c>
      <c r="O92" s="48" t="s">
        <v>49</v>
      </c>
      <c r="P92" s="48" t="str">
        <f t="shared" si="11"/>
        <v>In Progress</v>
      </c>
      <c r="Q92" s="48"/>
      <c r="R92" s="48"/>
    </row>
    <row r="93" spans="1:18" ht="15" customHeight="1" x14ac:dyDescent="0.25">
      <c r="A93" s="43">
        <v>90</v>
      </c>
      <c r="B93" s="44" t="s">
        <v>46</v>
      </c>
      <c r="C93" s="43" t="s">
        <v>24</v>
      </c>
      <c r="D93" s="43" t="s">
        <v>19</v>
      </c>
      <c r="E93" s="43" t="s">
        <v>38</v>
      </c>
      <c r="F93" s="45">
        <v>45407</v>
      </c>
      <c r="G93" s="45">
        <v>45421</v>
      </c>
      <c r="H93" s="43">
        <f t="shared" si="8"/>
        <v>14</v>
      </c>
      <c r="I93" s="43" t="str">
        <f t="shared" si="9"/>
        <v>Not Started</v>
      </c>
      <c r="J93" s="46">
        <v>0</v>
      </c>
      <c r="K93" s="43" t="s">
        <v>51</v>
      </c>
      <c r="L93" s="47">
        <v>4200</v>
      </c>
      <c r="M93" s="43">
        <v>0</v>
      </c>
      <c r="N93" s="47">
        <f t="shared" si="10"/>
        <v>58800</v>
      </c>
      <c r="O93" s="43" t="s">
        <v>59</v>
      </c>
      <c r="P93" s="43" t="str">
        <f t="shared" si="11"/>
        <v>Not Started</v>
      </c>
      <c r="Q93" s="43"/>
      <c r="R93" s="43"/>
    </row>
    <row r="94" spans="1:18" ht="15" customHeight="1" x14ac:dyDescent="0.25">
      <c r="A94" s="43">
        <v>91</v>
      </c>
      <c r="B94" s="44" t="s">
        <v>17</v>
      </c>
      <c r="C94" s="43" t="s">
        <v>29</v>
      </c>
      <c r="D94" s="43" t="s">
        <v>19</v>
      </c>
      <c r="E94" s="43" t="s">
        <v>20</v>
      </c>
      <c r="F94" s="45">
        <v>45422</v>
      </c>
      <c r="G94" s="45">
        <v>45434</v>
      </c>
      <c r="H94" s="43">
        <f t="shared" si="8"/>
        <v>12</v>
      </c>
      <c r="I94" s="43" t="str">
        <f t="shared" si="9"/>
        <v>In Progress</v>
      </c>
      <c r="J94" s="46">
        <v>0.75</v>
      </c>
      <c r="K94" s="43" t="s">
        <v>43</v>
      </c>
      <c r="L94" s="47">
        <v>4000</v>
      </c>
      <c r="M94" s="43">
        <v>80</v>
      </c>
      <c r="N94" s="47">
        <f t="shared" si="10"/>
        <v>48000</v>
      </c>
      <c r="O94" s="43" t="s">
        <v>22</v>
      </c>
      <c r="P94" s="43" t="str">
        <f t="shared" si="11"/>
        <v>In Progress</v>
      </c>
      <c r="Q94" s="43"/>
      <c r="R94" s="43"/>
    </row>
    <row r="95" spans="1:18" ht="15" customHeight="1" x14ac:dyDescent="0.25">
      <c r="A95" s="43">
        <v>92</v>
      </c>
      <c r="B95" s="44" t="s">
        <v>23</v>
      </c>
      <c r="C95" s="43" t="s">
        <v>33</v>
      </c>
      <c r="D95" s="43" t="s">
        <v>54</v>
      </c>
      <c r="E95" s="43" t="s">
        <v>26</v>
      </c>
      <c r="F95" s="45">
        <v>45345</v>
      </c>
      <c r="G95" s="45">
        <v>45373</v>
      </c>
      <c r="H95" s="43">
        <f t="shared" si="8"/>
        <v>28</v>
      </c>
      <c r="I95" s="43" t="str">
        <f t="shared" si="9"/>
        <v>In Progress</v>
      </c>
      <c r="J95" s="46">
        <v>1</v>
      </c>
      <c r="K95" s="43" t="s">
        <v>43</v>
      </c>
      <c r="L95" s="47">
        <v>2000</v>
      </c>
      <c r="M95" s="43">
        <v>120</v>
      </c>
      <c r="N95" s="47">
        <f t="shared" si="10"/>
        <v>56000</v>
      </c>
      <c r="O95" s="43" t="s">
        <v>31</v>
      </c>
      <c r="P95" s="43" t="str">
        <f t="shared" si="11"/>
        <v>In Progress</v>
      </c>
      <c r="Q95" s="43"/>
      <c r="R95" s="43"/>
    </row>
    <row r="96" spans="1:18" ht="15" customHeight="1" x14ac:dyDescent="0.25">
      <c r="A96" s="48">
        <v>93</v>
      </c>
      <c r="B96" s="49" t="s">
        <v>28</v>
      </c>
      <c r="C96" s="48" t="s">
        <v>18</v>
      </c>
      <c r="D96" s="48" t="s">
        <v>25</v>
      </c>
      <c r="E96" s="48" t="s">
        <v>30</v>
      </c>
      <c r="F96" s="50">
        <v>45333</v>
      </c>
      <c r="G96" s="50">
        <v>45340</v>
      </c>
      <c r="H96" s="48">
        <f t="shared" si="8"/>
        <v>7</v>
      </c>
      <c r="I96" s="48" t="str">
        <f t="shared" si="9"/>
        <v>In Progress</v>
      </c>
      <c r="J96" s="51">
        <v>0.5</v>
      </c>
      <c r="K96" s="48" t="s">
        <v>27</v>
      </c>
      <c r="L96" s="52">
        <v>2000</v>
      </c>
      <c r="M96" s="48">
        <v>100</v>
      </c>
      <c r="N96" s="52">
        <f t="shared" si="10"/>
        <v>14000</v>
      </c>
      <c r="O96" s="48" t="s">
        <v>59</v>
      </c>
      <c r="P96" s="48" t="str">
        <f t="shared" si="11"/>
        <v>In Progress</v>
      </c>
      <c r="Q96" s="48"/>
      <c r="R96" s="48"/>
    </row>
    <row r="97" spans="1:18" ht="15" customHeight="1" x14ac:dyDescent="0.25">
      <c r="A97" s="48">
        <v>94</v>
      </c>
      <c r="B97" s="49" t="s">
        <v>32</v>
      </c>
      <c r="C97" s="48" t="s">
        <v>24</v>
      </c>
      <c r="D97" s="48" t="s">
        <v>57</v>
      </c>
      <c r="E97" s="48" t="s">
        <v>34</v>
      </c>
      <c r="F97" s="50">
        <v>45323</v>
      </c>
      <c r="G97" s="50">
        <v>45335</v>
      </c>
      <c r="H97" s="48">
        <f t="shared" si="8"/>
        <v>12</v>
      </c>
      <c r="I97" s="48" t="str">
        <f t="shared" si="9"/>
        <v>In Progress</v>
      </c>
      <c r="J97" s="51">
        <v>0.65</v>
      </c>
      <c r="K97" s="48" t="s">
        <v>43</v>
      </c>
      <c r="L97" s="52">
        <v>3000</v>
      </c>
      <c r="M97" s="48">
        <v>160</v>
      </c>
      <c r="N97" s="52">
        <f t="shared" si="10"/>
        <v>36000</v>
      </c>
      <c r="O97" s="48" t="s">
        <v>55</v>
      </c>
      <c r="P97" s="48" t="str">
        <f t="shared" si="11"/>
        <v>In Progress</v>
      </c>
      <c r="Q97" s="48"/>
      <c r="R97" s="48"/>
    </row>
    <row r="98" spans="1:18" ht="15" customHeight="1" x14ac:dyDescent="0.25">
      <c r="A98" s="48">
        <v>95</v>
      </c>
      <c r="B98" s="49" t="s">
        <v>36</v>
      </c>
      <c r="C98" s="48" t="s">
        <v>29</v>
      </c>
      <c r="D98" s="48" t="s">
        <v>56</v>
      </c>
      <c r="E98" s="48" t="s">
        <v>38</v>
      </c>
      <c r="F98" s="50">
        <v>45417</v>
      </c>
      <c r="G98" s="50">
        <v>45424</v>
      </c>
      <c r="H98" s="48">
        <f t="shared" si="8"/>
        <v>7</v>
      </c>
      <c r="I98" s="48" t="str">
        <f t="shared" si="9"/>
        <v>Not Started</v>
      </c>
      <c r="J98" s="51">
        <v>0</v>
      </c>
      <c r="K98" s="48" t="s">
        <v>43</v>
      </c>
      <c r="L98" s="52">
        <v>5500</v>
      </c>
      <c r="M98" s="48">
        <v>140</v>
      </c>
      <c r="N98" s="52">
        <f t="shared" si="10"/>
        <v>38500</v>
      </c>
      <c r="O98" s="48" t="s">
        <v>59</v>
      </c>
      <c r="P98" s="48" t="str">
        <f t="shared" si="11"/>
        <v>Not Started</v>
      </c>
      <c r="Q98" s="48"/>
      <c r="R98" s="48"/>
    </row>
    <row r="99" spans="1:18" ht="15" customHeight="1" x14ac:dyDescent="0.25">
      <c r="A99" s="48">
        <v>96</v>
      </c>
      <c r="B99" s="49" t="s">
        <v>39</v>
      </c>
      <c r="C99" s="48" t="s">
        <v>33</v>
      </c>
      <c r="D99" s="48" t="s">
        <v>58</v>
      </c>
      <c r="E99" s="48" t="s">
        <v>20</v>
      </c>
      <c r="F99" s="50">
        <v>45319</v>
      </c>
      <c r="G99" s="50">
        <v>45347</v>
      </c>
      <c r="H99" s="48">
        <f t="shared" si="8"/>
        <v>28</v>
      </c>
      <c r="I99" s="48" t="str">
        <f t="shared" si="9"/>
        <v>In Progress</v>
      </c>
      <c r="J99" s="51">
        <v>0.25</v>
      </c>
      <c r="K99" s="48" t="s">
        <v>27</v>
      </c>
      <c r="L99" s="52">
        <v>2000</v>
      </c>
      <c r="M99" s="48">
        <v>80</v>
      </c>
      <c r="N99" s="52">
        <f t="shared" si="10"/>
        <v>56000</v>
      </c>
      <c r="O99" s="48" t="s">
        <v>31</v>
      </c>
      <c r="P99" s="48" t="str">
        <f t="shared" si="11"/>
        <v>In Progress</v>
      </c>
      <c r="Q99" s="48"/>
      <c r="R99" s="48"/>
    </row>
    <row r="100" spans="1:18" ht="15" customHeight="1" x14ac:dyDescent="0.25">
      <c r="A100" s="53">
        <v>97</v>
      </c>
      <c r="B100" s="54" t="s">
        <v>40</v>
      </c>
      <c r="C100" s="53" t="s">
        <v>18</v>
      </c>
      <c r="D100" s="53" t="s">
        <v>41</v>
      </c>
      <c r="E100" s="53" t="s">
        <v>26</v>
      </c>
      <c r="F100" s="55">
        <v>45417</v>
      </c>
      <c r="G100" s="55">
        <v>45431</v>
      </c>
      <c r="H100" s="53">
        <f t="shared" ref="H100:H123" si="12">IF(OR(F100="",G100=""),"",G100-F100)</f>
        <v>14</v>
      </c>
      <c r="I100" s="53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56">
        <v>0.5</v>
      </c>
      <c r="K100" s="53" t="s">
        <v>51</v>
      </c>
      <c r="L100" s="57">
        <v>4000</v>
      </c>
      <c r="M100" s="53">
        <v>168</v>
      </c>
      <c r="N100" s="57">
        <f t="shared" ref="N100:N123" si="14">IF(OR(L100="",H100=""),"",L100*H100)</f>
        <v>56000</v>
      </c>
      <c r="O100" s="53" t="s">
        <v>59</v>
      </c>
      <c r="P100" s="53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53"/>
      <c r="R100" s="53"/>
    </row>
    <row r="101" spans="1:18" ht="15" customHeight="1" x14ac:dyDescent="0.25">
      <c r="A101" s="48">
        <v>98</v>
      </c>
      <c r="B101" s="49" t="s">
        <v>42</v>
      </c>
      <c r="C101" s="48" t="s">
        <v>24</v>
      </c>
      <c r="D101" s="48" t="s">
        <v>41</v>
      </c>
      <c r="E101" s="48" t="s">
        <v>30</v>
      </c>
      <c r="F101" s="50">
        <v>45442</v>
      </c>
      <c r="G101" s="50">
        <v>45452</v>
      </c>
      <c r="H101" s="48">
        <f t="shared" si="12"/>
        <v>10</v>
      </c>
      <c r="I101" s="48" t="str">
        <f t="shared" si="13"/>
        <v>In Progress</v>
      </c>
      <c r="J101" s="51">
        <v>0.4</v>
      </c>
      <c r="K101" s="48" t="s">
        <v>21</v>
      </c>
      <c r="L101" s="52">
        <v>3000</v>
      </c>
      <c r="M101" s="48">
        <v>80</v>
      </c>
      <c r="N101" s="52">
        <f t="shared" si="14"/>
        <v>30000</v>
      </c>
      <c r="O101" s="48" t="s">
        <v>49</v>
      </c>
      <c r="P101" s="48" t="str">
        <f t="shared" si="15"/>
        <v>In Progress</v>
      </c>
      <c r="Q101" s="48"/>
      <c r="R101" s="48"/>
    </row>
    <row r="102" spans="1:18" ht="15" customHeight="1" x14ac:dyDescent="0.25">
      <c r="A102" s="48">
        <v>99</v>
      </c>
      <c r="B102" s="49" t="s">
        <v>44</v>
      </c>
      <c r="C102" s="48" t="s">
        <v>29</v>
      </c>
      <c r="D102" s="48" t="s">
        <v>47</v>
      </c>
      <c r="E102" s="48" t="s">
        <v>34</v>
      </c>
      <c r="F102" s="50">
        <v>45321</v>
      </c>
      <c r="G102" s="50">
        <v>45333</v>
      </c>
      <c r="H102" s="48">
        <f t="shared" si="12"/>
        <v>12</v>
      </c>
      <c r="I102" s="48" t="str">
        <f t="shared" si="13"/>
        <v>In Progress</v>
      </c>
      <c r="J102" s="51">
        <v>0.25</v>
      </c>
      <c r="K102" s="48" t="s">
        <v>43</v>
      </c>
      <c r="L102" s="52">
        <v>4200</v>
      </c>
      <c r="M102" s="48">
        <v>168</v>
      </c>
      <c r="N102" s="52">
        <f t="shared" si="14"/>
        <v>50400</v>
      </c>
      <c r="O102" s="48" t="s">
        <v>49</v>
      </c>
      <c r="P102" s="48" t="str">
        <f t="shared" si="15"/>
        <v>In Progress</v>
      </c>
      <c r="Q102" s="48"/>
      <c r="R102" s="48"/>
    </row>
    <row r="103" spans="1:18" ht="15" customHeight="1" x14ac:dyDescent="0.25">
      <c r="A103" s="48">
        <v>100</v>
      </c>
      <c r="B103" s="49" t="s">
        <v>46</v>
      </c>
      <c r="C103" s="48" t="s">
        <v>33</v>
      </c>
      <c r="D103" s="48" t="s">
        <v>48</v>
      </c>
      <c r="E103" s="48" t="s">
        <v>38</v>
      </c>
      <c r="F103" s="50">
        <v>45367</v>
      </c>
      <c r="G103" s="50">
        <v>45388</v>
      </c>
      <c r="H103" s="48">
        <f t="shared" si="12"/>
        <v>21</v>
      </c>
      <c r="I103" s="48" t="str">
        <f t="shared" si="13"/>
        <v>In Progress</v>
      </c>
      <c r="J103" s="51">
        <v>0.65</v>
      </c>
      <c r="K103" s="48" t="s">
        <v>27</v>
      </c>
      <c r="L103" s="52">
        <v>3500</v>
      </c>
      <c r="M103" s="48">
        <v>60</v>
      </c>
      <c r="N103" s="52">
        <f t="shared" si="14"/>
        <v>73500</v>
      </c>
      <c r="O103" s="48" t="s">
        <v>59</v>
      </c>
      <c r="P103" s="48" t="str">
        <f t="shared" si="15"/>
        <v>In Progress</v>
      </c>
      <c r="Q103" s="48"/>
      <c r="R103" s="48"/>
    </row>
    <row r="104" spans="1:18" ht="15" customHeight="1" x14ac:dyDescent="0.25">
      <c r="A104" s="48">
        <v>101</v>
      </c>
      <c r="B104" s="49" t="s">
        <v>17</v>
      </c>
      <c r="C104" s="48" t="s">
        <v>18</v>
      </c>
      <c r="D104" s="48" t="s">
        <v>45</v>
      </c>
      <c r="E104" s="48" t="s">
        <v>20</v>
      </c>
      <c r="F104" s="50">
        <v>45339</v>
      </c>
      <c r="G104" s="50">
        <v>45360</v>
      </c>
      <c r="H104" s="48">
        <f t="shared" si="12"/>
        <v>21</v>
      </c>
      <c r="I104" s="48" t="str">
        <f t="shared" si="13"/>
        <v>In Progress</v>
      </c>
      <c r="J104" s="51">
        <v>0.25</v>
      </c>
      <c r="K104" s="48" t="s">
        <v>21</v>
      </c>
      <c r="L104" s="52">
        <v>5000</v>
      </c>
      <c r="M104" s="48">
        <v>100</v>
      </c>
      <c r="N104" s="52">
        <f t="shared" si="14"/>
        <v>105000</v>
      </c>
      <c r="O104" s="48" t="s">
        <v>49</v>
      </c>
      <c r="P104" s="48" t="str">
        <f t="shared" si="15"/>
        <v>In Progress</v>
      </c>
      <c r="Q104" s="48"/>
      <c r="R104" s="48"/>
    </row>
    <row r="105" spans="1:18" ht="15" customHeight="1" x14ac:dyDescent="0.25">
      <c r="A105" s="53">
        <v>102</v>
      </c>
      <c r="B105" s="54" t="s">
        <v>23</v>
      </c>
      <c r="C105" s="53" t="s">
        <v>24</v>
      </c>
      <c r="D105" s="53" t="s">
        <v>60</v>
      </c>
      <c r="E105" s="53" t="s">
        <v>26</v>
      </c>
      <c r="F105" s="55">
        <v>45292</v>
      </c>
      <c r="G105" s="55">
        <v>45320</v>
      </c>
      <c r="H105" s="53">
        <f t="shared" si="12"/>
        <v>28</v>
      </c>
      <c r="I105" s="53" t="str">
        <f t="shared" si="13"/>
        <v>In Progress</v>
      </c>
      <c r="J105" s="56">
        <v>0.4</v>
      </c>
      <c r="K105" s="53" t="s">
        <v>51</v>
      </c>
      <c r="L105" s="57">
        <v>5500</v>
      </c>
      <c r="M105" s="53">
        <v>168</v>
      </c>
      <c r="N105" s="57">
        <f t="shared" si="14"/>
        <v>154000</v>
      </c>
      <c r="O105" s="53" t="s">
        <v>59</v>
      </c>
      <c r="P105" s="53" t="str">
        <f t="shared" si="15"/>
        <v>In Progress</v>
      </c>
      <c r="Q105" s="53"/>
      <c r="R105" s="53"/>
    </row>
    <row r="106" spans="1:18" ht="15" customHeight="1" x14ac:dyDescent="0.25">
      <c r="A106" s="43">
        <v>103</v>
      </c>
      <c r="B106" s="44" t="s">
        <v>28</v>
      </c>
      <c r="C106" s="43" t="s">
        <v>29</v>
      </c>
      <c r="D106" s="43" t="s">
        <v>53</v>
      </c>
      <c r="E106" s="43" t="s">
        <v>30</v>
      </c>
      <c r="F106" s="45">
        <v>45298</v>
      </c>
      <c r="G106" s="45">
        <v>45308</v>
      </c>
      <c r="H106" s="43">
        <f t="shared" si="12"/>
        <v>10</v>
      </c>
      <c r="I106" s="43" t="str">
        <f t="shared" si="13"/>
        <v>In Progress</v>
      </c>
      <c r="J106" s="46">
        <v>0.5</v>
      </c>
      <c r="K106" s="43" t="s">
        <v>27</v>
      </c>
      <c r="L106" s="47">
        <v>3500</v>
      </c>
      <c r="M106" s="43">
        <v>120</v>
      </c>
      <c r="N106" s="47">
        <f t="shared" si="14"/>
        <v>35000</v>
      </c>
      <c r="O106" s="43" t="s">
        <v>49</v>
      </c>
      <c r="P106" s="43" t="str">
        <f t="shared" si="15"/>
        <v>In Progress</v>
      </c>
      <c r="Q106" s="43"/>
      <c r="R106" s="43"/>
    </row>
    <row r="107" spans="1:18" ht="15" customHeight="1" x14ac:dyDescent="0.25">
      <c r="A107" s="43">
        <v>104</v>
      </c>
      <c r="B107" s="44" t="s">
        <v>32</v>
      </c>
      <c r="C107" s="43" t="s">
        <v>33</v>
      </c>
      <c r="D107" s="43" t="s">
        <v>60</v>
      </c>
      <c r="E107" s="43" t="s">
        <v>34</v>
      </c>
      <c r="F107" s="45">
        <v>45296</v>
      </c>
      <c r="G107" s="45">
        <v>45317</v>
      </c>
      <c r="H107" s="43">
        <f t="shared" si="12"/>
        <v>21</v>
      </c>
      <c r="I107" s="43" t="str">
        <f t="shared" si="13"/>
        <v>In Progress</v>
      </c>
      <c r="J107" s="46">
        <v>0.25</v>
      </c>
      <c r="K107" s="43" t="s">
        <v>21</v>
      </c>
      <c r="L107" s="47">
        <v>4200</v>
      </c>
      <c r="M107" s="43">
        <v>60</v>
      </c>
      <c r="N107" s="47">
        <f t="shared" si="14"/>
        <v>88200</v>
      </c>
      <c r="O107" s="43" t="s">
        <v>49</v>
      </c>
      <c r="P107" s="43" t="str">
        <f t="shared" si="15"/>
        <v>In Progress</v>
      </c>
      <c r="Q107" s="43"/>
      <c r="R107" s="43"/>
    </row>
    <row r="108" spans="1:18" ht="15" customHeight="1" x14ac:dyDescent="0.25">
      <c r="A108" s="48">
        <v>105</v>
      </c>
      <c r="B108" s="49" t="s">
        <v>36</v>
      </c>
      <c r="C108" s="48" t="s">
        <v>18</v>
      </c>
      <c r="D108" s="48" t="s">
        <v>52</v>
      </c>
      <c r="E108" s="48" t="s">
        <v>38</v>
      </c>
      <c r="F108" s="50">
        <v>45341</v>
      </c>
      <c r="G108" s="50">
        <v>45362</v>
      </c>
      <c r="H108" s="48">
        <f t="shared" si="12"/>
        <v>21</v>
      </c>
      <c r="I108" s="48" t="str">
        <f t="shared" si="13"/>
        <v>In Progress</v>
      </c>
      <c r="J108" s="51">
        <v>0.75</v>
      </c>
      <c r="K108" s="48" t="s">
        <v>51</v>
      </c>
      <c r="L108" s="52">
        <v>5000</v>
      </c>
      <c r="M108" s="48">
        <v>80</v>
      </c>
      <c r="N108" s="52">
        <f t="shared" si="14"/>
        <v>105000</v>
      </c>
      <c r="O108" s="48" t="s">
        <v>31</v>
      </c>
      <c r="P108" s="48" t="str">
        <f t="shared" si="15"/>
        <v>In Progress</v>
      </c>
      <c r="Q108" s="48"/>
      <c r="R108" s="48"/>
    </row>
    <row r="109" spans="1:18" ht="15" customHeight="1" x14ac:dyDescent="0.25">
      <c r="A109" s="48">
        <v>106</v>
      </c>
      <c r="B109" s="49" t="s">
        <v>39</v>
      </c>
      <c r="C109" s="48" t="s">
        <v>24</v>
      </c>
      <c r="D109" s="48" t="s">
        <v>54</v>
      </c>
      <c r="E109" s="48" t="s">
        <v>20</v>
      </c>
      <c r="F109" s="50">
        <v>45310</v>
      </c>
      <c r="G109" s="50">
        <v>45317</v>
      </c>
      <c r="H109" s="48">
        <f t="shared" si="12"/>
        <v>7</v>
      </c>
      <c r="I109" s="48" t="str">
        <f t="shared" si="13"/>
        <v>Not Started</v>
      </c>
      <c r="J109" s="51">
        <v>0</v>
      </c>
      <c r="K109" s="48" t="s">
        <v>43</v>
      </c>
      <c r="L109" s="52">
        <v>3500</v>
      </c>
      <c r="M109" s="48">
        <v>120</v>
      </c>
      <c r="N109" s="52">
        <f t="shared" si="14"/>
        <v>24500</v>
      </c>
      <c r="O109" s="48" t="s">
        <v>55</v>
      </c>
      <c r="P109" s="48" t="str">
        <f t="shared" si="15"/>
        <v>Not Started</v>
      </c>
      <c r="Q109" s="48"/>
      <c r="R109" s="48"/>
    </row>
    <row r="110" spans="1:18" ht="15" customHeight="1" x14ac:dyDescent="0.25">
      <c r="A110" s="53">
        <v>107</v>
      </c>
      <c r="B110" s="54" t="s">
        <v>40</v>
      </c>
      <c r="C110" s="53" t="s">
        <v>29</v>
      </c>
      <c r="D110" s="53" t="s">
        <v>54</v>
      </c>
      <c r="E110" s="53" t="s">
        <v>26</v>
      </c>
      <c r="F110" s="55">
        <v>45401</v>
      </c>
      <c r="G110" s="55">
        <v>45429</v>
      </c>
      <c r="H110" s="53">
        <f t="shared" si="12"/>
        <v>28</v>
      </c>
      <c r="I110" s="53" t="str">
        <f t="shared" si="13"/>
        <v>Not Started</v>
      </c>
      <c r="J110" s="56">
        <v>0</v>
      </c>
      <c r="K110" s="53" t="s">
        <v>43</v>
      </c>
      <c r="L110" s="57">
        <v>5000</v>
      </c>
      <c r="M110" s="53">
        <v>60</v>
      </c>
      <c r="N110" s="57">
        <f t="shared" si="14"/>
        <v>140000</v>
      </c>
      <c r="O110" s="53" t="s">
        <v>31</v>
      </c>
      <c r="P110" s="53" t="str">
        <f t="shared" si="15"/>
        <v>Not Started</v>
      </c>
      <c r="Q110" s="53"/>
      <c r="R110" s="53"/>
    </row>
    <row r="111" spans="1:18" ht="15" customHeight="1" x14ac:dyDescent="0.25">
      <c r="A111" s="43">
        <v>108</v>
      </c>
      <c r="B111" s="44" t="s">
        <v>42</v>
      </c>
      <c r="C111" s="43" t="s">
        <v>33</v>
      </c>
      <c r="D111" s="43" t="s">
        <v>25</v>
      </c>
      <c r="E111" s="43" t="s">
        <v>30</v>
      </c>
      <c r="F111" s="45">
        <v>45298</v>
      </c>
      <c r="G111" s="45">
        <v>45312</v>
      </c>
      <c r="H111" s="43">
        <f t="shared" si="12"/>
        <v>14</v>
      </c>
      <c r="I111" s="43" t="str">
        <f t="shared" si="13"/>
        <v>In Progress</v>
      </c>
      <c r="J111" s="46">
        <v>1</v>
      </c>
      <c r="K111" s="43" t="s">
        <v>27</v>
      </c>
      <c r="L111" s="47">
        <v>2000</v>
      </c>
      <c r="M111" s="43">
        <v>100</v>
      </c>
      <c r="N111" s="47">
        <f t="shared" si="14"/>
        <v>28000</v>
      </c>
      <c r="O111" s="43" t="s">
        <v>31</v>
      </c>
      <c r="P111" s="43" t="str">
        <f t="shared" si="15"/>
        <v>In Progress</v>
      </c>
      <c r="Q111" s="43"/>
      <c r="R111" s="43"/>
    </row>
    <row r="112" spans="1:18" ht="15" customHeight="1" x14ac:dyDescent="0.25">
      <c r="A112" s="43">
        <v>109</v>
      </c>
      <c r="B112" s="44" t="s">
        <v>44</v>
      </c>
      <c r="C112" s="43" t="s">
        <v>18</v>
      </c>
      <c r="D112" s="43" t="s">
        <v>25</v>
      </c>
      <c r="E112" s="43" t="s">
        <v>34</v>
      </c>
      <c r="F112" s="45">
        <v>45414</v>
      </c>
      <c r="G112" s="45">
        <v>45421</v>
      </c>
      <c r="H112" s="43">
        <f t="shared" si="12"/>
        <v>7</v>
      </c>
      <c r="I112" s="43" t="str">
        <f t="shared" si="13"/>
        <v>In Progress</v>
      </c>
      <c r="J112" s="46">
        <v>0.4</v>
      </c>
      <c r="K112" s="43" t="s">
        <v>27</v>
      </c>
      <c r="L112" s="47">
        <v>3000</v>
      </c>
      <c r="M112" s="43">
        <v>140</v>
      </c>
      <c r="N112" s="47">
        <f t="shared" si="14"/>
        <v>21000</v>
      </c>
      <c r="O112" s="43" t="s">
        <v>31</v>
      </c>
      <c r="P112" s="43" t="str">
        <f t="shared" si="15"/>
        <v>In Progress</v>
      </c>
      <c r="Q112" s="43"/>
      <c r="R112" s="43"/>
    </row>
    <row r="113" spans="1:18" ht="15" customHeight="1" x14ac:dyDescent="0.25">
      <c r="A113" s="43">
        <v>110</v>
      </c>
      <c r="B113" s="44" t="s">
        <v>46</v>
      </c>
      <c r="C113" s="43" t="s">
        <v>24</v>
      </c>
      <c r="D113" s="43" t="s">
        <v>37</v>
      </c>
      <c r="E113" s="43" t="s">
        <v>38</v>
      </c>
      <c r="F113" s="45">
        <v>45300</v>
      </c>
      <c r="G113" s="45">
        <v>45307</v>
      </c>
      <c r="H113" s="43">
        <f t="shared" si="12"/>
        <v>7</v>
      </c>
      <c r="I113" s="43" t="str">
        <f t="shared" si="13"/>
        <v>In Progress</v>
      </c>
      <c r="J113" s="46">
        <v>1</v>
      </c>
      <c r="K113" s="43" t="s">
        <v>21</v>
      </c>
      <c r="L113" s="47">
        <v>2000</v>
      </c>
      <c r="M113" s="43">
        <v>160</v>
      </c>
      <c r="N113" s="47">
        <f t="shared" si="14"/>
        <v>14000</v>
      </c>
      <c r="O113" s="43" t="s">
        <v>55</v>
      </c>
      <c r="P113" s="43" t="str">
        <f t="shared" si="15"/>
        <v>In Progress</v>
      </c>
      <c r="Q113" s="43"/>
      <c r="R113" s="43"/>
    </row>
    <row r="114" spans="1:18" ht="15" customHeight="1" x14ac:dyDescent="0.25">
      <c r="A114" s="43">
        <v>111</v>
      </c>
      <c r="B114" s="44" t="s">
        <v>17</v>
      </c>
      <c r="C114" s="43" t="s">
        <v>29</v>
      </c>
      <c r="D114" s="43" t="s">
        <v>56</v>
      </c>
      <c r="E114" s="43" t="s">
        <v>20</v>
      </c>
      <c r="F114" s="45">
        <v>45421</v>
      </c>
      <c r="G114" s="45">
        <v>45442</v>
      </c>
      <c r="H114" s="43">
        <f t="shared" si="12"/>
        <v>21</v>
      </c>
      <c r="I114" s="43" t="str">
        <f t="shared" si="13"/>
        <v>Not Started</v>
      </c>
      <c r="J114" s="46">
        <v>0</v>
      </c>
      <c r="K114" s="43" t="s">
        <v>27</v>
      </c>
      <c r="L114" s="47">
        <v>3000</v>
      </c>
      <c r="M114" s="43">
        <v>60</v>
      </c>
      <c r="N114" s="47">
        <f t="shared" si="14"/>
        <v>63000</v>
      </c>
      <c r="O114" s="43" t="s">
        <v>31</v>
      </c>
      <c r="P114" s="43" t="str">
        <f t="shared" si="15"/>
        <v>Not Started</v>
      </c>
      <c r="Q114" s="43"/>
      <c r="R114" s="43"/>
    </row>
    <row r="115" spans="1:18" ht="15" customHeight="1" x14ac:dyDescent="0.25">
      <c r="A115" s="48">
        <v>112</v>
      </c>
      <c r="B115" s="49" t="s">
        <v>23</v>
      </c>
      <c r="C115" s="48" t="s">
        <v>33</v>
      </c>
      <c r="D115" s="48" t="s">
        <v>58</v>
      </c>
      <c r="E115" s="48" t="s">
        <v>26</v>
      </c>
      <c r="F115" s="50">
        <v>45361</v>
      </c>
      <c r="G115" s="50">
        <v>45375</v>
      </c>
      <c r="H115" s="48">
        <f t="shared" si="12"/>
        <v>14</v>
      </c>
      <c r="I115" s="48" t="str">
        <f t="shared" si="13"/>
        <v>In Progress</v>
      </c>
      <c r="J115" s="51">
        <v>1</v>
      </c>
      <c r="K115" s="48" t="s">
        <v>27</v>
      </c>
      <c r="L115" s="52">
        <v>5500</v>
      </c>
      <c r="M115" s="48">
        <v>80</v>
      </c>
      <c r="N115" s="52">
        <f t="shared" si="14"/>
        <v>77000</v>
      </c>
      <c r="O115" s="48" t="s">
        <v>35</v>
      </c>
      <c r="P115" s="48" t="str">
        <f t="shared" si="15"/>
        <v>In Progress</v>
      </c>
      <c r="Q115" s="48"/>
      <c r="R115" s="48"/>
    </row>
    <row r="116" spans="1:18" ht="15" customHeight="1" x14ac:dyDescent="0.25">
      <c r="A116" s="43">
        <v>113</v>
      </c>
      <c r="B116" s="44" t="s">
        <v>28</v>
      </c>
      <c r="C116" s="43" t="s">
        <v>18</v>
      </c>
      <c r="D116" s="43" t="s">
        <v>58</v>
      </c>
      <c r="E116" s="43" t="s">
        <v>30</v>
      </c>
      <c r="F116" s="45">
        <v>45420</v>
      </c>
      <c r="G116" s="45">
        <v>45448</v>
      </c>
      <c r="H116" s="43">
        <f t="shared" si="12"/>
        <v>28</v>
      </c>
      <c r="I116" s="43" t="str">
        <f t="shared" si="13"/>
        <v>In Progress</v>
      </c>
      <c r="J116" s="46">
        <v>0.75</v>
      </c>
      <c r="K116" s="43" t="s">
        <v>43</v>
      </c>
      <c r="L116" s="47">
        <v>5000</v>
      </c>
      <c r="M116" s="43">
        <v>140</v>
      </c>
      <c r="N116" s="47">
        <f t="shared" si="14"/>
        <v>140000</v>
      </c>
      <c r="O116" s="43" t="s">
        <v>55</v>
      </c>
      <c r="P116" s="43" t="str">
        <f t="shared" si="15"/>
        <v>In Progress</v>
      </c>
      <c r="Q116" s="43"/>
      <c r="R116" s="43"/>
    </row>
    <row r="117" spans="1:18" ht="15" customHeight="1" x14ac:dyDescent="0.25">
      <c r="A117" s="48">
        <v>114</v>
      </c>
      <c r="B117" s="49" t="s">
        <v>32</v>
      </c>
      <c r="C117" s="48" t="s">
        <v>24</v>
      </c>
      <c r="D117" s="48" t="s">
        <v>45</v>
      </c>
      <c r="E117" s="48" t="s">
        <v>34</v>
      </c>
      <c r="F117" s="50">
        <v>45408</v>
      </c>
      <c r="G117" s="50">
        <v>45422</v>
      </c>
      <c r="H117" s="48">
        <f t="shared" si="12"/>
        <v>14</v>
      </c>
      <c r="I117" s="48" t="str">
        <f t="shared" si="13"/>
        <v>In Progress</v>
      </c>
      <c r="J117" s="51">
        <v>0.65</v>
      </c>
      <c r="K117" s="48" t="s">
        <v>51</v>
      </c>
      <c r="L117" s="52">
        <v>4000</v>
      </c>
      <c r="M117" s="48">
        <v>60</v>
      </c>
      <c r="N117" s="52">
        <f t="shared" si="14"/>
        <v>56000</v>
      </c>
      <c r="O117" s="48" t="s">
        <v>31</v>
      </c>
      <c r="P117" s="48" t="str">
        <f t="shared" si="15"/>
        <v>In Progress</v>
      </c>
      <c r="Q117" s="48"/>
      <c r="R117" s="48"/>
    </row>
    <row r="118" spans="1:18" ht="15" customHeight="1" x14ac:dyDescent="0.25">
      <c r="A118" s="48">
        <v>115</v>
      </c>
      <c r="B118" s="49" t="s">
        <v>36</v>
      </c>
      <c r="C118" s="48" t="s">
        <v>29</v>
      </c>
      <c r="D118" s="48" t="s">
        <v>47</v>
      </c>
      <c r="E118" s="48" t="s">
        <v>38</v>
      </c>
      <c r="F118" s="50">
        <v>45441</v>
      </c>
      <c r="G118" s="50">
        <v>45451</v>
      </c>
      <c r="H118" s="48">
        <f t="shared" si="12"/>
        <v>10</v>
      </c>
      <c r="I118" s="48" t="str">
        <f t="shared" si="13"/>
        <v>In Progress</v>
      </c>
      <c r="J118" s="51">
        <v>0.4</v>
      </c>
      <c r="K118" s="48" t="s">
        <v>51</v>
      </c>
      <c r="L118" s="52">
        <v>4200</v>
      </c>
      <c r="M118" s="48">
        <v>80</v>
      </c>
      <c r="N118" s="52">
        <f t="shared" si="14"/>
        <v>42000</v>
      </c>
      <c r="O118" s="48" t="s">
        <v>55</v>
      </c>
      <c r="P118" s="48" t="str">
        <f t="shared" si="15"/>
        <v>In Progress</v>
      </c>
      <c r="Q118" s="48"/>
      <c r="R118" s="48"/>
    </row>
    <row r="119" spans="1:18" ht="15" customHeight="1" x14ac:dyDescent="0.25">
      <c r="A119" s="48">
        <v>116</v>
      </c>
      <c r="B119" s="49" t="s">
        <v>39</v>
      </c>
      <c r="C119" s="48" t="s">
        <v>33</v>
      </c>
      <c r="D119" s="48" t="s">
        <v>50</v>
      </c>
      <c r="E119" s="48" t="s">
        <v>20</v>
      </c>
      <c r="F119" s="50">
        <v>45362</v>
      </c>
      <c r="G119" s="50">
        <v>45374</v>
      </c>
      <c r="H119" s="48">
        <f t="shared" si="12"/>
        <v>12</v>
      </c>
      <c r="I119" s="48" t="str">
        <f t="shared" si="13"/>
        <v>In Progress</v>
      </c>
      <c r="J119" s="51">
        <v>1</v>
      </c>
      <c r="K119" s="48" t="s">
        <v>21</v>
      </c>
      <c r="L119" s="52">
        <v>4000</v>
      </c>
      <c r="M119" s="48">
        <v>80</v>
      </c>
      <c r="N119" s="52">
        <f t="shared" si="14"/>
        <v>48000</v>
      </c>
      <c r="O119" s="48" t="s">
        <v>49</v>
      </c>
      <c r="P119" s="48" t="str">
        <f t="shared" si="15"/>
        <v>In Progress</v>
      </c>
      <c r="Q119" s="48"/>
      <c r="R119" s="48"/>
    </row>
    <row r="120" spans="1:18" ht="15" customHeight="1" x14ac:dyDescent="0.25">
      <c r="A120" s="53">
        <v>117</v>
      </c>
      <c r="B120" s="54" t="s">
        <v>40</v>
      </c>
      <c r="C120" s="53" t="s">
        <v>18</v>
      </c>
      <c r="D120" s="53" t="s">
        <v>60</v>
      </c>
      <c r="E120" s="53" t="s">
        <v>26</v>
      </c>
      <c r="F120" s="55">
        <v>45403</v>
      </c>
      <c r="G120" s="55">
        <v>45415</v>
      </c>
      <c r="H120" s="53">
        <f t="shared" si="12"/>
        <v>12</v>
      </c>
      <c r="I120" s="53" t="str">
        <f t="shared" si="13"/>
        <v>In Progress</v>
      </c>
      <c r="J120" s="56">
        <v>0.5</v>
      </c>
      <c r="K120" s="53" t="s">
        <v>27</v>
      </c>
      <c r="L120" s="57">
        <v>4200</v>
      </c>
      <c r="M120" s="53">
        <v>140</v>
      </c>
      <c r="N120" s="57">
        <f t="shared" si="14"/>
        <v>50400</v>
      </c>
      <c r="O120" s="53" t="s">
        <v>31</v>
      </c>
      <c r="P120" s="53" t="str">
        <f t="shared" si="15"/>
        <v>In Progress</v>
      </c>
      <c r="Q120" s="53"/>
      <c r="R120" s="53"/>
    </row>
    <row r="121" spans="1:18" ht="15" customHeight="1" x14ac:dyDescent="0.25">
      <c r="A121" s="43">
        <v>118</v>
      </c>
      <c r="B121" s="44" t="s">
        <v>42</v>
      </c>
      <c r="C121" s="43" t="s">
        <v>24</v>
      </c>
      <c r="D121" s="43" t="s">
        <v>53</v>
      </c>
      <c r="E121" s="43" t="s">
        <v>30</v>
      </c>
      <c r="F121" s="45">
        <v>45394</v>
      </c>
      <c r="G121" s="45">
        <v>45408</v>
      </c>
      <c r="H121" s="43">
        <f t="shared" si="12"/>
        <v>14</v>
      </c>
      <c r="I121" s="43" t="str">
        <f t="shared" si="13"/>
        <v>In Progress</v>
      </c>
      <c r="J121" s="46">
        <v>0.4</v>
      </c>
      <c r="K121" s="43" t="s">
        <v>27</v>
      </c>
      <c r="L121" s="47">
        <v>5000</v>
      </c>
      <c r="M121" s="43">
        <v>80</v>
      </c>
      <c r="N121" s="47">
        <f t="shared" si="14"/>
        <v>70000</v>
      </c>
      <c r="O121" s="43" t="s">
        <v>59</v>
      </c>
      <c r="P121" s="43" t="str">
        <f t="shared" si="15"/>
        <v>In Progress</v>
      </c>
      <c r="Q121" s="43"/>
      <c r="R121" s="43"/>
    </row>
    <row r="122" spans="1:18" ht="15" customHeight="1" x14ac:dyDescent="0.25">
      <c r="A122" s="43">
        <v>119</v>
      </c>
      <c r="B122" s="44" t="s">
        <v>44</v>
      </c>
      <c r="C122" s="43" t="s">
        <v>29</v>
      </c>
      <c r="D122" s="43" t="s">
        <v>53</v>
      </c>
      <c r="E122" s="43" t="s">
        <v>34</v>
      </c>
      <c r="F122" s="45">
        <v>45364</v>
      </c>
      <c r="G122" s="45">
        <v>45376</v>
      </c>
      <c r="H122" s="43">
        <f t="shared" si="12"/>
        <v>12</v>
      </c>
      <c r="I122" s="43" t="str">
        <f t="shared" si="13"/>
        <v>Not Started</v>
      </c>
      <c r="J122" s="46">
        <v>0</v>
      </c>
      <c r="K122" s="43" t="s">
        <v>27</v>
      </c>
      <c r="L122" s="47">
        <v>4200</v>
      </c>
      <c r="M122" s="43">
        <v>80</v>
      </c>
      <c r="N122" s="47">
        <f t="shared" si="14"/>
        <v>50400</v>
      </c>
      <c r="O122" s="43" t="s">
        <v>55</v>
      </c>
      <c r="P122" s="43" t="str">
        <f t="shared" si="15"/>
        <v>Not Started</v>
      </c>
      <c r="Q122" s="43"/>
      <c r="R122" s="43"/>
    </row>
    <row r="123" spans="1:18" ht="15" customHeight="1" x14ac:dyDescent="0.25">
      <c r="A123" s="48">
        <v>120</v>
      </c>
      <c r="B123" s="49" t="s">
        <v>46</v>
      </c>
      <c r="C123" s="48" t="s">
        <v>33</v>
      </c>
      <c r="D123" s="48" t="s">
        <v>53</v>
      </c>
      <c r="E123" s="48" t="s">
        <v>38</v>
      </c>
      <c r="F123" s="50">
        <v>45386</v>
      </c>
      <c r="G123" s="50">
        <v>45398</v>
      </c>
      <c r="H123" s="48">
        <f t="shared" si="12"/>
        <v>12</v>
      </c>
      <c r="I123" s="48" t="str">
        <f t="shared" si="13"/>
        <v>In Progress</v>
      </c>
      <c r="J123" s="51">
        <v>0.5</v>
      </c>
      <c r="K123" s="48" t="s">
        <v>21</v>
      </c>
      <c r="L123" s="52">
        <v>4200</v>
      </c>
      <c r="M123" s="48">
        <v>80</v>
      </c>
      <c r="N123" s="52">
        <f t="shared" si="14"/>
        <v>50400</v>
      </c>
      <c r="O123" s="48" t="s">
        <v>59</v>
      </c>
      <c r="P123" s="48" t="str">
        <f t="shared" si="15"/>
        <v>In Progress</v>
      </c>
      <c r="Q123" s="48"/>
      <c r="R123" s="48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2000000}"/>
  <mergeCells count="1">
    <mergeCell ref="A1:P1"/>
  </mergeCells>
  <hyperlinks>
    <hyperlink ref="P2" location="'Project Overview'!A1" display="← Back to Project Overview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1"/>
  <sheetViews>
    <sheetView showGridLines="0" zoomScale="70" zoomScaleNormal="70" workbookViewId="0">
      <selection activeCell="G32" sqref="G32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188" t="s">
        <v>465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58"/>
      <c r="AG1" s="58"/>
      <c r="AH1" s="58"/>
      <c r="AI1" s="58"/>
    </row>
    <row r="2" spans="1:35" ht="18" customHeight="1" x14ac:dyDescent="0.35">
      <c r="A2" s="59"/>
      <c r="B2" s="60"/>
      <c r="C2" s="60"/>
      <c r="D2" s="60"/>
      <c r="E2" s="161" t="s">
        <v>332</v>
      </c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</row>
    <row r="3" spans="1:35" ht="25.5" customHeight="1" x14ac:dyDescent="0.25">
      <c r="A3" s="61" t="s">
        <v>1</v>
      </c>
      <c r="B3" s="61" t="s">
        <v>2</v>
      </c>
      <c r="C3" s="61" t="s">
        <v>3</v>
      </c>
      <c r="D3" s="61" t="s">
        <v>333</v>
      </c>
      <c r="E3" s="61" t="s">
        <v>334</v>
      </c>
      <c r="F3" s="61" t="s">
        <v>335</v>
      </c>
      <c r="G3" s="61" t="s">
        <v>336</v>
      </c>
      <c r="H3" s="61" t="s">
        <v>9</v>
      </c>
      <c r="I3" s="61" t="s">
        <v>337</v>
      </c>
      <c r="J3" s="61" t="s">
        <v>11</v>
      </c>
      <c r="K3" s="187" t="s">
        <v>338</v>
      </c>
      <c r="L3" s="186"/>
      <c r="M3" s="186"/>
      <c r="N3" s="186"/>
      <c r="O3" s="187" t="s">
        <v>339</v>
      </c>
      <c r="P3" s="186"/>
      <c r="Q3" s="186"/>
      <c r="R3" s="186"/>
      <c r="S3" s="191" t="s">
        <v>340</v>
      </c>
      <c r="T3" s="186"/>
      <c r="U3" s="186"/>
      <c r="V3" s="186"/>
      <c r="W3" s="191" t="s">
        <v>341</v>
      </c>
      <c r="X3" s="186"/>
      <c r="Y3" s="186"/>
      <c r="Z3" s="186"/>
      <c r="AA3" s="185" t="s">
        <v>342</v>
      </c>
      <c r="AB3" s="186"/>
      <c r="AC3" s="186"/>
      <c r="AD3" s="186"/>
      <c r="AE3" s="185" t="s">
        <v>343</v>
      </c>
      <c r="AF3" s="186"/>
      <c r="AG3" s="186"/>
      <c r="AH3" s="186"/>
      <c r="AI3" s="186"/>
    </row>
    <row r="4" spans="1:35" ht="15" customHeight="1" x14ac:dyDescent="0.25">
      <c r="A4" s="189"/>
      <c r="B4" s="165"/>
      <c r="C4" s="165"/>
      <c r="D4" s="165"/>
      <c r="E4" s="165"/>
      <c r="F4" s="165"/>
      <c r="G4" s="165"/>
      <c r="H4" s="165"/>
      <c r="I4" s="165"/>
      <c r="J4" s="165"/>
      <c r="K4" s="62" t="s">
        <v>344</v>
      </c>
      <c r="L4" s="62" t="s">
        <v>345</v>
      </c>
      <c r="M4" s="62" t="s">
        <v>346</v>
      </c>
      <c r="N4" s="62" t="s">
        <v>347</v>
      </c>
      <c r="O4" s="62" t="s">
        <v>344</v>
      </c>
      <c r="P4" s="62" t="s">
        <v>345</v>
      </c>
      <c r="Q4" s="62" t="s">
        <v>346</v>
      </c>
      <c r="R4" s="62" t="s">
        <v>347</v>
      </c>
      <c r="S4" s="63" t="s">
        <v>344</v>
      </c>
      <c r="T4" s="63" t="s">
        <v>345</v>
      </c>
      <c r="U4" s="63" t="s">
        <v>346</v>
      </c>
      <c r="V4" s="63" t="s">
        <v>347</v>
      </c>
      <c r="W4" s="63" t="s">
        <v>344</v>
      </c>
      <c r="X4" s="63" t="s">
        <v>345</v>
      </c>
      <c r="Y4" s="63" t="s">
        <v>346</v>
      </c>
      <c r="Z4" s="63" t="s">
        <v>347</v>
      </c>
      <c r="AA4" s="64" t="s">
        <v>344</v>
      </c>
      <c r="AB4" s="64" t="s">
        <v>345</v>
      </c>
      <c r="AC4" s="64" t="s">
        <v>346</v>
      </c>
      <c r="AD4" s="64" t="s">
        <v>347</v>
      </c>
      <c r="AE4" s="64" t="s">
        <v>344</v>
      </c>
      <c r="AF4" s="64" t="s">
        <v>345</v>
      </c>
      <c r="AG4" s="64" t="s">
        <v>346</v>
      </c>
      <c r="AH4" s="64" t="s">
        <v>347</v>
      </c>
    </row>
    <row r="5" spans="1:35" ht="15" customHeight="1" x14ac:dyDescent="0.25">
      <c r="A5" s="165"/>
      <c r="B5" s="165"/>
      <c r="C5" s="165"/>
      <c r="D5" s="165"/>
      <c r="E5" s="165"/>
      <c r="F5" s="165"/>
      <c r="G5" s="165"/>
      <c r="H5" s="165"/>
      <c r="I5" s="165"/>
      <c r="J5" s="165"/>
    </row>
    <row r="6" spans="1:35" ht="21.75" customHeight="1" x14ac:dyDescent="0.25">
      <c r="A6" s="65" t="s">
        <v>348</v>
      </c>
      <c r="B6" s="66"/>
      <c r="C6" s="66"/>
      <c r="D6" s="66"/>
      <c r="E6" s="66"/>
      <c r="F6" s="66"/>
      <c r="G6" s="66"/>
      <c r="H6" s="66"/>
      <c r="I6" s="66"/>
      <c r="J6" s="66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</row>
    <row r="7" spans="1:35" ht="21.75" customHeight="1" x14ac:dyDescent="0.25">
      <c r="A7" s="68">
        <v>1</v>
      </c>
      <c r="B7" s="69" t="s">
        <v>17</v>
      </c>
      <c r="C7" s="68" t="s">
        <v>18</v>
      </c>
      <c r="D7" s="68" t="s">
        <v>52</v>
      </c>
      <c r="E7" s="70">
        <v>45292</v>
      </c>
      <c r="F7" s="70">
        <v>45306</v>
      </c>
      <c r="G7" s="68">
        <v>14</v>
      </c>
      <c r="H7" s="71" t="s">
        <v>64</v>
      </c>
      <c r="I7" s="72">
        <v>1</v>
      </c>
      <c r="J7" s="68" t="s">
        <v>27</v>
      </c>
      <c r="K7" s="73"/>
      <c r="L7" s="73"/>
      <c r="M7" s="73"/>
      <c r="N7" s="74"/>
      <c r="O7" s="75"/>
      <c r="P7" s="74"/>
      <c r="Q7" s="75"/>
      <c r="R7" s="74"/>
      <c r="S7" s="75"/>
      <c r="T7" s="74"/>
      <c r="U7" s="75"/>
      <c r="V7" s="74"/>
      <c r="W7" s="75"/>
      <c r="X7" s="74"/>
      <c r="Y7" s="75"/>
      <c r="Z7" s="74"/>
      <c r="AA7" s="75"/>
      <c r="AB7" s="74"/>
      <c r="AC7" s="75"/>
      <c r="AD7" s="74"/>
      <c r="AE7" s="75"/>
      <c r="AF7" s="74"/>
      <c r="AG7" s="75"/>
      <c r="AH7" s="74"/>
      <c r="AI7" s="76"/>
    </row>
    <row r="8" spans="1:35" ht="21.75" customHeight="1" x14ac:dyDescent="0.25">
      <c r="A8" s="68">
        <v>2</v>
      </c>
      <c r="B8" s="69" t="s">
        <v>23</v>
      </c>
      <c r="C8" s="68" t="s">
        <v>18</v>
      </c>
      <c r="D8" s="68" t="s">
        <v>19</v>
      </c>
      <c r="E8" s="70">
        <v>45299</v>
      </c>
      <c r="F8" s="70">
        <v>45309</v>
      </c>
      <c r="G8" s="68">
        <v>10</v>
      </c>
      <c r="H8" s="71" t="s">
        <v>64</v>
      </c>
      <c r="I8" s="72">
        <v>1</v>
      </c>
      <c r="J8" s="68" t="s">
        <v>27</v>
      </c>
      <c r="K8" s="75"/>
      <c r="L8" s="73"/>
      <c r="M8" s="73"/>
      <c r="N8" s="74"/>
      <c r="O8" s="75"/>
      <c r="P8" s="74"/>
      <c r="Q8" s="75"/>
      <c r="R8" s="74"/>
      <c r="S8" s="75"/>
      <c r="T8" s="74"/>
      <c r="U8" s="75"/>
      <c r="V8" s="74"/>
      <c r="W8" s="75"/>
      <c r="X8" s="74"/>
      <c r="Y8" s="75"/>
      <c r="Z8" s="74"/>
      <c r="AA8" s="75"/>
      <c r="AB8" s="74"/>
      <c r="AC8" s="75"/>
      <c r="AD8" s="74"/>
      <c r="AE8" s="75"/>
      <c r="AF8" s="74"/>
      <c r="AG8" s="75"/>
      <c r="AH8" s="74"/>
      <c r="AI8" s="77"/>
    </row>
    <row r="9" spans="1:35" ht="21.75" customHeight="1" x14ac:dyDescent="0.25">
      <c r="A9" s="184">
        <v>3</v>
      </c>
      <c r="B9" s="182"/>
      <c r="C9" s="182"/>
      <c r="D9" s="182"/>
      <c r="E9" s="182"/>
      <c r="F9" s="182"/>
      <c r="G9" s="182"/>
      <c r="H9" s="182"/>
      <c r="I9" s="182"/>
      <c r="J9" s="183"/>
      <c r="K9" s="75"/>
      <c r="L9" s="74"/>
      <c r="M9" s="73"/>
      <c r="N9" s="73"/>
      <c r="O9" s="75"/>
      <c r="P9" s="74"/>
      <c r="Q9" s="75"/>
      <c r="R9" s="74"/>
      <c r="S9" s="75"/>
      <c r="T9" s="74"/>
      <c r="U9" s="75"/>
      <c r="V9" s="74"/>
      <c r="W9" s="75"/>
      <c r="X9" s="74"/>
      <c r="Y9" s="75"/>
      <c r="Z9" s="74"/>
      <c r="AA9" s="75"/>
      <c r="AB9" s="74"/>
      <c r="AC9" s="75"/>
      <c r="AD9" s="74"/>
      <c r="AE9" s="75"/>
      <c r="AF9" s="74"/>
      <c r="AG9" s="75"/>
      <c r="AH9" s="74"/>
      <c r="AI9" s="76"/>
    </row>
    <row r="10" spans="1:35" ht="21.75" customHeight="1" x14ac:dyDescent="0.25">
      <c r="A10" s="78" t="s">
        <v>349</v>
      </c>
      <c r="B10" s="79"/>
      <c r="C10" s="79"/>
      <c r="D10" s="79"/>
      <c r="E10" s="79"/>
      <c r="F10" s="79"/>
      <c r="G10" s="79"/>
      <c r="H10" s="79"/>
      <c r="I10" s="79"/>
      <c r="J10" s="79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</row>
    <row r="11" spans="1:35" ht="21.75" customHeight="1" x14ac:dyDescent="0.25">
      <c r="A11" s="81">
        <v>4</v>
      </c>
      <c r="B11" s="82" t="s">
        <v>32</v>
      </c>
      <c r="C11" s="81" t="s">
        <v>24</v>
      </c>
      <c r="D11" s="81" t="s">
        <v>54</v>
      </c>
      <c r="E11" s="83">
        <v>45320</v>
      </c>
      <c r="F11" s="83">
        <v>45334</v>
      </c>
      <c r="G11" s="81">
        <v>14</v>
      </c>
      <c r="H11" s="71" t="s">
        <v>64</v>
      </c>
      <c r="I11" s="84">
        <v>1</v>
      </c>
      <c r="J11" s="81" t="s">
        <v>27</v>
      </c>
      <c r="K11" s="75"/>
      <c r="L11" s="74"/>
      <c r="M11" s="75"/>
      <c r="N11" s="74"/>
      <c r="O11" s="85"/>
      <c r="P11" s="85"/>
      <c r="Q11" s="85"/>
      <c r="R11" s="74"/>
      <c r="S11" s="75"/>
      <c r="T11" s="74"/>
      <c r="U11" s="75"/>
      <c r="V11" s="74"/>
      <c r="W11" s="75"/>
      <c r="X11" s="74"/>
      <c r="Y11" s="75"/>
      <c r="Z11" s="74"/>
      <c r="AA11" s="75"/>
      <c r="AB11" s="74"/>
      <c r="AC11" s="75"/>
      <c r="AD11" s="74"/>
      <c r="AE11" s="75"/>
      <c r="AF11" s="74"/>
      <c r="AG11" s="75"/>
      <c r="AH11" s="74"/>
      <c r="AI11" s="76"/>
    </row>
    <row r="12" spans="1:35" ht="21.75" customHeight="1" x14ac:dyDescent="0.25">
      <c r="A12" s="81">
        <v>5</v>
      </c>
      <c r="B12" s="82" t="s">
        <v>36</v>
      </c>
      <c r="C12" s="81" t="s">
        <v>24</v>
      </c>
      <c r="D12" s="81" t="s">
        <v>25</v>
      </c>
      <c r="E12" s="83">
        <v>45327</v>
      </c>
      <c r="F12" s="83">
        <v>45341</v>
      </c>
      <c r="G12" s="81">
        <v>14</v>
      </c>
      <c r="H12" s="71" t="s">
        <v>64</v>
      </c>
      <c r="I12" s="84">
        <v>1</v>
      </c>
      <c r="J12" s="81" t="s">
        <v>21</v>
      </c>
      <c r="K12" s="75"/>
      <c r="L12" s="74"/>
      <c r="M12" s="75"/>
      <c r="N12" s="74"/>
      <c r="O12" s="75"/>
      <c r="P12" s="85"/>
      <c r="Q12" s="85"/>
      <c r="R12" s="85"/>
      <c r="S12" s="75"/>
      <c r="T12" s="74"/>
      <c r="U12" s="75"/>
      <c r="V12" s="74"/>
      <c r="W12" s="75"/>
      <c r="X12" s="74"/>
      <c r="Y12" s="75"/>
      <c r="Z12" s="74"/>
      <c r="AA12" s="75"/>
      <c r="AB12" s="74"/>
      <c r="AC12" s="75"/>
      <c r="AD12" s="74"/>
      <c r="AE12" s="75"/>
      <c r="AF12" s="74"/>
      <c r="AG12" s="75"/>
      <c r="AH12" s="74"/>
      <c r="AI12" s="77"/>
    </row>
    <row r="13" spans="1:35" ht="21.75" customHeight="1" x14ac:dyDescent="0.25">
      <c r="A13" s="190">
        <v>6</v>
      </c>
      <c r="B13" s="182"/>
      <c r="C13" s="182"/>
      <c r="D13" s="182"/>
      <c r="E13" s="182"/>
      <c r="F13" s="182"/>
      <c r="G13" s="182"/>
      <c r="H13" s="182"/>
      <c r="I13" s="182"/>
      <c r="J13" s="183"/>
      <c r="K13" s="75"/>
      <c r="L13" s="74"/>
      <c r="M13" s="75"/>
      <c r="N13" s="74"/>
      <c r="O13" s="75"/>
      <c r="P13" s="74"/>
      <c r="Q13" s="86"/>
      <c r="R13" s="86"/>
      <c r="S13" s="75"/>
      <c r="T13" s="74"/>
      <c r="U13" s="75"/>
      <c r="V13" s="74"/>
      <c r="W13" s="75"/>
      <c r="X13" s="74"/>
      <c r="Y13" s="75"/>
      <c r="Z13" s="74"/>
      <c r="AA13" s="75"/>
      <c r="AB13" s="74"/>
      <c r="AC13" s="75"/>
      <c r="AD13" s="74"/>
      <c r="AE13" s="75"/>
      <c r="AF13" s="74"/>
      <c r="AG13" s="75"/>
      <c r="AH13" s="74"/>
      <c r="AI13" s="76"/>
    </row>
    <row r="14" spans="1:35" ht="21.75" customHeight="1" x14ac:dyDescent="0.25">
      <c r="A14" s="87" t="s">
        <v>350</v>
      </c>
      <c r="B14" s="88"/>
      <c r="C14" s="88"/>
      <c r="D14" s="88"/>
      <c r="E14" s="88"/>
      <c r="F14" s="88"/>
      <c r="G14" s="88"/>
      <c r="H14" s="88"/>
      <c r="I14" s="88"/>
      <c r="J14" s="88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</row>
    <row r="15" spans="1:35" ht="21.75" customHeight="1" x14ac:dyDescent="0.25">
      <c r="A15" s="90">
        <v>7</v>
      </c>
      <c r="B15" s="91" t="s">
        <v>40</v>
      </c>
      <c r="C15" s="90" t="s">
        <v>29</v>
      </c>
      <c r="D15" s="90" t="s">
        <v>54</v>
      </c>
      <c r="E15" s="92">
        <v>45355</v>
      </c>
      <c r="F15" s="92">
        <v>45369</v>
      </c>
      <c r="G15" s="90">
        <v>14</v>
      </c>
      <c r="H15" s="93" t="s">
        <v>65</v>
      </c>
      <c r="I15" s="94">
        <v>0.4</v>
      </c>
      <c r="J15" s="90" t="s">
        <v>27</v>
      </c>
      <c r="K15" s="75"/>
      <c r="L15" s="74"/>
      <c r="M15" s="75"/>
      <c r="N15" s="74"/>
      <c r="O15" s="75"/>
      <c r="P15" s="74"/>
      <c r="Q15" s="75"/>
      <c r="R15" s="74"/>
      <c r="S15" s="75"/>
      <c r="T15" s="95"/>
      <c r="U15" s="95"/>
      <c r="V15" s="95"/>
      <c r="W15" s="75"/>
      <c r="X15" s="74"/>
      <c r="Y15" s="75"/>
      <c r="Z15" s="74"/>
      <c r="AA15" s="75"/>
      <c r="AB15" s="74"/>
      <c r="AC15" s="75"/>
      <c r="AD15" s="74"/>
      <c r="AE15" s="75"/>
      <c r="AF15" s="74"/>
      <c r="AG15" s="75"/>
      <c r="AH15" s="74"/>
      <c r="AI15" s="76"/>
    </row>
    <row r="16" spans="1:35" ht="21.75" customHeight="1" x14ac:dyDescent="0.25">
      <c r="A16" s="90">
        <v>8</v>
      </c>
      <c r="B16" s="91" t="s">
        <v>42</v>
      </c>
      <c r="C16" s="90" t="s">
        <v>29</v>
      </c>
      <c r="D16" s="90" t="s">
        <v>47</v>
      </c>
      <c r="E16" s="92">
        <v>45362</v>
      </c>
      <c r="F16" s="92">
        <v>45376</v>
      </c>
      <c r="G16" s="90">
        <v>14</v>
      </c>
      <c r="H16" s="96" t="s">
        <v>66</v>
      </c>
      <c r="I16" s="94">
        <v>0</v>
      </c>
      <c r="J16" s="90" t="s">
        <v>21</v>
      </c>
      <c r="K16" s="75"/>
      <c r="L16" s="74"/>
      <c r="M16" s="75"/>
      <c r="N16" s="74"/>
      <c r="O16" s="75"/>
      <c r="P16" s="74"/>
      <c r="Q16" s="75"/>
      <c r="R16" s="74"/>
      <c r="S16" s="75"/>
      <c r="T16" s="74"/>
      <c r="U16" s="97"/>
      <c r="V16" s="97"/>
      <c r="W16" s="97"/>
      <c r="X16" s="74"/>
      <c r="Y16" s="75"/>
      <c r="Z16" s="74"/>
      <c r="AA16" s="75"/>
      <c r="AB16" s="74"/>
      <c r="AC16" s="75"/>
      <c r="AD16" s="74"/>
      <c r="AE16" s="75"/>
      <c r="AF16" s="74"/>
      <c r="AG16" s="75"/>
      <c r="AH16" s="74"/>
      <c r="AI16" s="77"/>
    </row>
    <row r="17" spans="1:35" ht="21.75" customHeight="1" x14ac:dyDescent="0.25">
      <c r="A17" s="181">
        <v>9</v>
      </c>
      <c r="B17" s="182"/>
      <c r="C17" s="182"/>
      <c r="D17" s="182"/>
      <c r="E17" s="182"/>
      <c r="F17" s="182"/>
      <c r="G17" s="182"/>
      <c r="H17" s="182"/>
      <c r="I17" s="182"/>
      <c r="J17" s="183"/>
      <c r="K17" s="75"/>
      <c r="L17" s="74"/>
      <c r="M17" s="75"/>
      <c r="N17" s="74"/>
      <c r="O17" s="75"/>
      <c r="P17" s="74"/>
      <c r="Q17" s="75"/>
      <c r="R17" s="74"/>
      <c r="S17" s="75"/>
      <c r="T17" s="74"/>
      <c r="U17" s="75"/>
      <c r="V17" s="97"/>
      <c r="W17" s="97"/>
      <c r="X17" s="97"/>
      <c r="Y17" s="75"/>
      <c r="Z17" s="74"/>
      <c r="AA17" s="75"/>
      <c r="AB17" s="74"/>
      <c r="AC17" s="75"/>
      <c r="AD17" s="74"/>
      <c r="AE17" s="75"/>
      <c r="AF17" s="74"/>
      <c r="AG17" s="75"/>
      <c r="AH17" s="74"/>
      <c r="AI17" s="76"/>
    </row>
    <row r="18" spans="1:35" ht="21.75" customHeight="1" x14ac:dyDescent="0.25">
      <c r="A18" s="98" t="s">
        <v>351</v>
      </c>
      <c r="B18" s="99"/>
      <c r="C18" s="99"/>
      <c r="D18" s="99"/>
      <c r="E18" s="99"/>
      <c r="F18" s="99"/>
      <c r="G18" s="99"/>
      <c r="H18" s="99"/>
      <c r="I18" s="99"/>
      <c r="J18" s="99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</row>
    <row r="19" spans="1:35" ht="21.75" customHeight="1" x14ac:dyDescent="0.25">
      <c r="A19" s="101">
        <v>10</v>
      </c>
      <c r="B19" s="102" t="s">
        <v>46</v>
      </c>
      <c r="C19" s="101" t="s">
        <v>33</v>
      </c>
      <c r="D19" s="101" t="s">
        <v>57</v>
      </c>
      <c r="E19" s="103">
        <v>45397</v>
      </c>
      <c r="F19" s="103">
        <v>45411</v>
      </c>
      <c r="G19" s="101">
        <v>14</v>
      </c>
      <c r="H19" s="96" t="s">
        <v>66</v>
      </c>
      <c r="I19" s="104">
        <v>0</v>
      </c>
      <c r="J19" s="101" t="s">
        <v>51</v>
      </c>
      <c r="K19" s="75"/>
      <c r="L19" s="74"/>
      <c r="M19" s="75"/>
      <c r="N19" s="74"/>
      <c r="O19" s="75"/>
      <c r="P19" s="74"/>
      <c r="Q19" s="75"/>
      <c r="R19" s="74"/>
      <c r="S19" s="75"/>
      <c r="T19" s="74"/>
      <c r="U19" s="75"/>
      <c r="V19" s="74"/>
      <c r="W19" s="75"/>
      <c r="X19" s="74"/>
      <c r="Y19" s="75"/>
      <c r="Z19" s="105"/>
      <c r="AA19" s="105"/>
      <c r="AB19" s="105"/>
      <c r="AC19" s="75"/>
      <c r="AD19" s="74"/>
      <c r="AE19" s="75"/>
      <c r="AF19" s="74"/>
      <c r="AG19" s="75"/>
      <c r="AH19" s="74"/>
      <c r="AI19" s="76"/>
    </row>
    <row r="20" spans="1:35" ht="15" customHeight="1" x14ac:dyDescent="0.25"/>
    <row r="21" spans="1:35" ht="19.5" customHeight="1" x14ac:dyDescent="0.25">
      <c r="A21" s="106" t="s">
        <v>352</v>
      </c>
      <c r="B21" s="107" t="s">
        <v>353</v>
      </c>
      <c r="C21" s="108" t="s">
        <v>354</v>
      </c>
      <c r="D21" s="109" t="s">
        <v>355</v>
      </c>
      <c r="E21" s="110" t="s">
        <v>356</v>
      </c>
      <c r="F21" s="111" t="s">
        <v>357</v>
      </c>
      <c r="G21" s="112" t="s">
        <v>358</v>
      </c>
      <c r="H21" s="113" t="s">
        <v>359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1"/>
  <sheetViews>
    <sheetView showGridLines="0" zoomScaleNormal="100" workbookViewId="0">
      <pane ySplit="3" topLeftCell="A24" activePane="bottomLeft" state="frozen"/>
      <selection pane="bottomLeft" sqref="A1:O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7" max="7" width="8.7109375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164" t="s">
        <v>463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</row>
    <row r="2" spans="1:15" ht="20.25" customHeight="1" x14ac:dyDescent="0.25">
      <c r="O2" s="160" t="s">
        <v>0</v>
      </c>
    </row>
    <row r="3" spans="1:15" ht="31.5" customHeight="1" x14ac:dyDescent="0.25">
      <c r="A3" s="36" t="s">
        <v>1</v>
      </c>
      <c r="B3" s="36" t="s">
        <v>360</v>
      </c>
      <c r="C3" s="36" t="s">
        <v>361</v>
      </c>
      <c r="D3" s="36" t="s">
        <v>5</v>
      </c>
      <c r="E3" s="36" t="s">
        <v>362</v>
      </c>
      <c r="F3" s="36" t="s">
        <v>363</v>
      </c>
      <c r="G3" s="36" t="s">
        <v>364</v>
      </c>
      <c r="H3" s="36" t="s">
        <v>365</v>
      </c>
      <c r="I3" s="36" t="s">
        <v>366</v>
      </c>
      <c r="J3" s="36" t="s">
        <v>367</v>
      </c>
      <c r="K3" s="36" t="s">
        <v>12</v>
      </c>
      <c r="L3" s="36" t="s">
        <v>368</v>
      </c>
      <c r="M3" s="36" t="s">
        <v>369</v>
      </c>
      <c r="N3" s="36" t="s">
        <v>370</v>
      </c>
      <c r="O3" s="36" t="s">
        <v>9</v>
      </c>
    </row>
    <row r="4" spans="1:15" ht="15" customHeight="1" x14ac:dyDescent="0.25">
      <c r="A4" s="114">
        <v>1</v>
      </c>
      <c r="B4" s="115" t="s">
        <v>52</v>
      </c>
      <c r="C4" s="115" t="s">
        <v>371</v>
      </c>
      <c r="D4" s="115" t="s">
        <v>20</v>
      </c>
      <c r="E4" s="116" t="s">
        <v>372</v>
      </c>
      <c r="F4" s="114">
        <v>2</v>
      </c>
      <c r="G4" s="114">
        <v>2</v>
      </c>
      <c r="H4" s="114">
        <v>1</v>
      </c>
      <c r="I4" s="114">
        <v>0</v>
      </c>
      <c r="J4" s="114">
        <f t="shared" ref="J4:J10" si="0">SUM(F4:I4)</f>
        <v>5</v>
      </c>
      <c r="K4" s="117">
        <v>3500</v>
      </c>
      <c r="L4" s="114">
        <v>168</v>
      </c>
      <c r="M4" s="118">
        <v>0.9</v>
      </c>
      <c r="N4" s="118">
        <f t="shared" ref="N4:N10" si="1">IF(M4="",0,M4/168)</f>
        <v>5.3571428571428572E-3</v>
      </c>
      <c r="O4" s="114" t="s">
        <v>373</v>
      </c>
    </row>
    <row r="5" spans="1:15" ht="15" customHeight="1" x14ac:dyDescent="0.25">
      <c r="A5" s="119">
        <v>2</v>
      </c>
      <c r="B5" s="120" t="s">
        <v>19</v>
      </c>
      <c r="C5" s="120" t="s">
        <v>374</v>
      </c>
      <c r="D5" s="120" t="s">
        <v>26</v>
      </c>
      <c r="E5" s="121" t="s">
        <v>375</v>
      </c>
      <c r="F5" s="119">
        <v>1</v>
      </c>
      <c r="G5" s="119">
        <v>1</v>
      </c>
      <c r="H5" s="119">
        <v>1</v>
      </c>
      <c r="I5" s="119">
        <v>0</v>
      </c>
      <c r="J5" s="119">
        <f t="shared" si="0"/>
        <v>3</v>
      </c>
      <c r="K5" s="122">
        <v>4000</v>
      </c>
      <c r="L5" s="119">
        <v>140</v>
      </c>
      <c r="M5" s="123">
        <v>0.8</v>
      </c>
      <c r="N5" s="123">
        <f t="shared" si="1"/>
        <v>4.7619047619047623E-3</v>
      </c>
      <c r="O5" s="119" t="s">
        <v>373</v>
      </c>
    </row>
    <row r="6" spans="1:15" ht="15" customHeight="1" x14ac:dyDescent="0.25">
      <c r="A6" s="114">
        <v>3</v>
      </c>
      <c r="B6" s="115" t="s">
        <v>54</v>
      </c>
      <c r="C6" s="115" t="s">
        <v>376</v>
      </c>
      <c r="D6" s="115" t="s">
        <v>30</v>
      </c>
      <c r="E6" s="116" t="s">
        <v>377</v>
      </c>
      <c r="F6" s="114">
        <v>0</v>
      </c>
      <c r="G6" s="114">
        <v>1</v>
      </c>
      <c r="H6" s="114">
        <v>1</v>
      </c>
      <c r="I6" s="114">
        <v>1</v>
      </c>
      <c r="J6" s="114">
        <f t="shared" si="0"/>
        <v>3</v>
      </c>
      <c r="K6" s="117">
        <v>4200</v>
      </c>
      <c r="L6" s="114">
        <v>160</v>
      </c>
      <c r="M6" s="118">
        <v>0.95</v>
      </c>
      <c r="N6" s="118">
        <f t="shared" si="1"/>
        <v>5.6547619047619046E-3</v>
      </c>
      <c r="O6" s="114" t="s">
        <v>373</v>
      </c>
    </row>
    <row r="7" spans="1:15" ht="15" customHeight="1" x14ac:dyDescent="0.25">
      <c r="A7" s="119">
        <v>4</v>
      </c>
      <c r="B7" s="120" t="s">
        <v>25</v>
      </c>
      <c r="C7" s="120" t="s">
        <v>378</v>
      </c>
      <c r="D7" s="120" t="s">
        <v>34</v>
      </c>
      <c r="E7" s="121" t="s">
        <v>379</v>
      </c>
      <c r="F7" s="119">
        <v>0</v>
      </c>
      <c r="G7" s="119">
        <v>1</v>
      </c>
      <c r="H7" s="119">
        <v>1</v>
      </c>
      <c r="I7" s="119">
        <v>1</v>
      </c>
      <c r="J7" s="119">
        <f t="shared" si="0"/>
        <v>3</v>
      </c>
      <c r="K7" s="122">
        <v>3000</v>
      </c>
      <c r="L7" s="119">
        <v>120</v>
      </c>
      <c r="M7" s="123">
        <v>0.7</v>
      </c>
      <c r="N7" s="123">
        <f t="shared" si="1"/>
        <v>4.1666666666666666E-3</v>
      </c>
      <c r="O7" s="119" t="s">
        <v>373</v>
      </c>
    </row>
    <row r="8" spans="1:15" ht="15" customHeight="1" x14ac:dyDescent="0.25">
      <c r="A8" s="114">
        <v>5</v>
      </c>
      <c r="B8" s="115" t="s">
        <v>41</v>
      </c>
      <c r="C8" s="115" t="s">
        <v>380</v>
      </c>
      <c r="D8" s="115" t="s">
        <v>38</v>
      </c>
      <c r="E8" s="116" t="s">
        <v>381</v>
      </c>
      <c r="F8" s="114">
        <v>1</v>
      </c>
      <c r="G8" s="114">
        <v>1</v>
      </c>
      <c r="H8" s="114">
        <v>1</v>
      </c>
      <c r="I8" s="114">
        <v>1</v>
      </c>
      <c r="J8" s="114">
        <f t="shared" si="0"/>
        <v>4</v>
      </c>
      <c r="K8" s="117">
        <v>5000</v>
      </c>
      <c r="L8" s="114">
        <v>80</v>
      </c>
      <c r="M8" s="118">
        <v>0.6</v>
      </c>
      <c r="N8" s="118">
        <f t="shared" si="1"/>
        <v>3.5714285714285713E-3</v>
      </c>
      <c r="O8" s="114" t="s">
        <v>373</v>
      </c>
    </row>
    <row r="9" spans="1:15" ht="15" customHeight="1" x14ac:dyDescent="0.25">
      <c r="A9" s="119">
        <v>6</v>
      </c>
      <c r="B9" s="120" t="s">
        <v>56</v>
      </c>
      <c r="C9" s="120" t="s">
        <v>382</v>
      </c>
      <c r="D9" s="120" t="s">
        <v>20</v>
      </c>
      <c r="E9" s="121" t="s">
        <v>383</v>
      </c>
      <c r="F9" s="119">
        <v>1</v>
      </c>
      <c r="G9" s="119">
        <v>1</v>
      </c>
      <c r="H9" s="119">
        <v>0</v>
      </c>
      <c r="I9" s="119">
        <v>0</v>
      </c>
      <c r="J9" s="119">
        <f t="shared" si="0"/>
        <v>2</v>
      </c>
      <c r="K9" s="122">
        <v>2000</v>
      </c>
      <c r="L9" s="119">
        <v>80</v>
      </c>
      <c r="M9" s="123">
        <v>1</v>
      </c>
      <c r="N9" s="123">
        <f t="shared" si="1"/>
        <v>5.9523809523809521E-3</v>
      </c>
      <c r="O9" s="119" t="s">
        <v>373</v>
      </c>
    </row>
    <row r="10" spans="1:15" ht="15" customHeight="1" x14ac:dyDescent="0.25">
      <c r="A10" s="114">
        <v>7</v>
      </c>
      <c r="B10" s="115" t="s">
        <v>58</v>
      </c>
      <c r="C10" s="115" t="s">
        <v>384</v>
      </c>
      <c r="D10" s="115" t="s">
        <v>30</v>
      </c>
      <c r="E10" s="116" t="s">
        <v>385</v>
      </c>
      <c r="F10" s="114">
        <v>0</v>
      </c>
      <c r="G10" s="114">
        <v>0</v>
      </c>
      <c r="H10" s="114">
        <v>1</v>
      </c>
      <c r="I10" s="114">
        <v>1</v>
      </c>
      <c r="J10" s="114">
        <f t="shared" si="0"/>
        <v>2</v>
      </c>
      <c r="K10" s="117">
        <v>5500</v>
      </c>
      <c r="L10" s="114">
        <v>60</v>
      </c>
      <c r="M10" s="118">
        <v>0.5</v>
      </c>
      <c r="N10" s="118">
        <f t="shared" si="1"/>
        <v>2.976190476190476E-3</v>
      </c>
      <c r="O10" s="114" t="s">
        <v>386</v>
      </c>
    </row>
    <row r="11" spans="1:15" ht="15" customHeight="1" x14ac:dyDescent="0.25">
      <c r="A11" s="192" t="s">
        <v>387</v>
      </c>
      <c r="B11" s="167"/>
      <c r="C11" s="167"/>
      <c r="D11" s="167"/>
      <c r="E11" s="167"/>
      <c r="F11" s="2">
        <f>SUM(F4:F10)</f>
        <v>5</v>
      </c>
      <c r="G11" s="2">
        <f>SUM(G4:G10)</f>
        <v>7</v>
      </c>
      <c r="H11" s="2">
        <f>SUM(H4:H10)</f>
        <v>6</v>
      </c>
      <c r="I11" s="2">
        <f>SUM(I4:I10)</f>
        <v>4</v>
      </c>
      <c r="J11" s="2">
        <f>SUM(J4:J10)</f>
        <v>22</v>
      </c>
      <c r="K11" s="124">
        <f>AVERAGE(K4:K10)</f>
        <v>3885.7142857142858</v>
      </c>
      <c r="L11" s="2">
        <f>SUM(L4:L10)</f>
        <v>808</v>
      </c>
      <c r="M11" s="125">
        <f>AVERAGE(M4:M10)</f>
        <v>0.77857142857142869</v>
      </c>
      <c r="N11" s="125">
        <f>AVERAGE(N4:N10)</f>
        <v>4.6343537414965984E-3</v>
      </c>
      <c r="O11" s="2"/>
    </row>
    <row r="13" spans="1:15" ht="15" customHeight="1" x14ac:dyDescent="0.25">
      <c r="A13" s="169" t="s">
        <v>388</v>
      </c>
      <c r="B13" s="167"/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</row>
    <row r="14" spans="1:15" ht="15" customHeight="1" x14ac:dyDescent="0.25">
      <c r="A14" s="2" t="s">
        <v>389</v>
      </c>
      <c r="B14" s="2" t="s">
        <v>18</v>
      </c>
      <c r="C14" s="2" t="s">
        <v>24</v>
      </c>
      <c r="D14" s="2" t="s">
        <v>29</v>
      </c>
      <c r="E14" s="2" t="s">
        <v>33</v>
      </c>
      <c r="F14" s="2" t="s">
        <v>367</v>
      </c>
      <c r="G14" s="2" t="s">
        <v>13</v>
      </c>
      <c r="H14" s="2" t="s">
        <v>390</v>
      </c>
    </row>
    <row r="15" spans="1:15" ht="15" customHeight="1" x14ac:dyDescent="0.25">
      <c r="A15" s="115" t="s">
        <v>52</v>
      </c>
      <c r="B15" s="114">
        <v>2</v>
      </c>
      <c r="C15" s="114">
        <v>2</v>
      </c>
      <c r="D15" s="114">
        <v>1</v>
      </c>
      <c r="E15" s="114">
        <v>0</v>
      </c>
      <c r="F15" s="114">
        <v>5</v>
      </c>
      <c r="G15" s="114">
        <v>168</v>
      </c>
      <c r="H15" s="118">
        <v>0.85</v>
      </c>
    </row>
    <row r="16" spans="1:15" ht="15" customHeight="1" x14ac:dyDescent="0.25">
      <c r="A16" s="120" t="s">
        <v>19</v>
      </c>
      <c r="B16" s="119">
        <v>1</v>
      </c>
      <c r="C16" s="119">
        <v>1</v>
      </c>
      <c r="D16" s="119">
        <v>1</v>
      </c>
      <c r="E16" s="119">
        <v>0</v>
      </c>
      <c r="F16" s="119">
        <v>3</v>
      </c>
      <c r="G16" s="119">
        <v>140</v>
      </c>
      <c r="H16" s="123">
        <v>0.78</v>
      </c>
    </row>
    <row r="17" spans="1:8" ht="15" customHeight="1" x14ac:dyDescent="0.25">
      <c r="A17" s="115" t="s">
        <v>54</v>
      </c>
      <c r="B17" s="114">
        <v>0</v>
      </c>
      <c r="C17" s="114">
        <v>1</v>
      </c>
      <c r="D17" s="114">
        <v>1</v>
      </c>
      <c r="E17" s="114">
        <v>1</v>
      </c>
      <c r="F17" s="114">
        <v>3</v>
      </c>
      <c r="G17" s="114">
        <v>160</v>
      </c>
      <c r="H17" s="118">
        <v>0.9</v>
      </c>
    </row>
    <row r="18" spans="1:8" ht="15" customHeight="1" x14ac:dyDescent="0.25">
      <c r="A18" s="120" t="s">
        <v>25</v>
      </c>
      <c r="B18" s="119">
        <v>0</v>
      </c>
      <c r="C18" s="119">
        <v>1</v>
      </c>
      <c r="D18" s="119">
        <v>1</v>
      </c>
      <c r="E18" s="119">
        <v>1</v>
      </c>
      <c r="F18" s="119">
        <v>3</v>
      </c>
      <c r="G18" s="119">
        <v>120</v>
      </c>
      <c r="H18" s="123">
        <v>0.65</v>
      </c>
    </row>
    <row r="19" spans="1:8" ht="15" customHeight="1" x14ac:dyDescent="0.25">
      <c r="A19" s="115" t="s">
        <v>41</v>
      </c>
      <c r="B19" s="114">
        <v>1</v>
      </c>
      <c r="C19" s="114">
        <v>1</v>
      </c>
      <c r="D19" s="114">
        <v>1</v>
      </c>
      <c r="E19" s="114">
        <v>1</v>
      </c>
      <c r="F19" s="114">
        <v>4</v>
      </c>
      <c r="G19" s="114">
        <v>80</v>
      </c>
      <c r="H19" s="118">
        <v>0.55000000000000004</v>
      </c>
    </row>
    <row r="20" spans="1:8" ht="15" customHeight="1" x14ac:dyDescent="0.25">
      <c r="A20" s="120" t="s">
        <v>56</v>
      </c>
      <c r="B20" s="119">
        <v>1</v>
      </c>
      <c r="C20" s="119">
        <v>1</v>
      </c>
      <c r="D20" s="119">
        <v>0</v>
      </c>
      <c r="E20" s="119">
        <v>0</v>
      </c>
      <c r="F20" s="119">
        <v>2</v>
      </c>
      <c r="G20" s="119">
        <v>80</v>
      </c>
      <c r="H20" s="123">
        <v>0.7</v>
      </c>
    </row>
    <row r="21" spans="1:8" ht="15" customHeight="1" x14ac:dyDescent="0.25">
      <c r="A21" s="115" t="s">
        <v>58</v>
      </c>
      <c r="B21" s="114">
        <v>0</v>
      </c>
      <c r="C21" s="114">
        <v>0</v>
      </c>
      <c r="D21" s="114">
        <v>1</v>
      </c>
      <c r="E21" s="114">
        <v>1</v>
      </c>
      <c r="F21" s="114">
        <v>2</v>
      </c>
      <c r="G21" s="114">
        <v>60</v>
      </c>
      <c r="H21" s="118">
        <v>0.45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2"/>
  <sheetViews>
    <sheetView showGridLines="0" zoomScaleNormal="100" workbookViewId="0">
      <pane ySplit="3" topLeftCell="A4" activePane="bottomLeft" state="frozen"/>
      <selection activeCell="D24" sqref="D24"/>
      <selection pane="bottomLeft" activeCell="K16" sqref="K16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164" t="s">
        <v>464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</row>
    <row r="2" spans="1:15" ht="15" customHeight="1" x14ac:dyDescent="0.25">
      <c r="L2" s="160" t="s">
        <v>0</v>
      </c>
    </row>
    <row r="3" spans="1:15" ht="31.5" customHeight="1" x14ac:dyDescent="0.25">
      <c r="A3" s="36" t="s">
        <v>1</v>
      </c>
      <c r="B3" s="36" t="s">
        <v>391</v>
      </c>
      <c r="C3" s="36" t="s">
        <v>3</v>
      </c>
      <c r="D3" s="36" t="s">
        <v>333</v>
      </c>
      <c r="E3" s="36" t="s">
        <v>11</v>
      </c>
      <c r="F3" s="36" t="s">
        <v>6</v>
      </c>
      <c r="G3" s="36" t="s">
        <v>7</v>
      </c>
      <c r="H3" s="36" t="s">
        <v>392</v>
      </c>
      <c r="I3" s="36" t="s">
        <v>9</v>
      </c>
      <c r="J3" s="36" t="s">
        <v>10</v>
      </c>
      <c r="K3" s="36" t="s">
        <v>393</v>
      </c>
      <c r="L3" s="36" t="s">
        <v>394</v>
      </c>
      <c r="M3" s="36" t="s">
        <v>395</v>
      </c>
      <c r="N3" s="13" t="s">
        <v>94</v>
      </c>
      <c r="O3" s="126" t="s">
        <v>396</v>
      </c>
    </row>
    <row r="4" spans="1:15" ht="15" customHeight="1" x14ac:dyDescent="0.25">
      <c r="A4" s="43">
        <v>1</v>
      </c>
      <c r="B4" s="127" t="s">
        <v>17</v>
      </c>
      <c r="C4" s="128" t="s">
        <v>18</v>
      </c>
      <c r="D4" s="43" t="s">
        <v>52</v>
      </c>
      <c r="E4" s="43" t="s">
        <v>27</v>
      </c>
      <c r="F4" s="129">
        <v>45292</v>
      </c>
      <c r="G4" s="129">
        <v>45306</v>
      </c>
      <c r="H4" s="43">
        <f t="shared" ref="H4:H13" si="0">IF(OR(F4="",G4=""),"",G4-F4)</f>
        <v>14</v>
      </c>
      <c r="I4" s="43" t="str">
        <f t="shared" ref="I4:I13" si="1">IFERROR(IF(VALUE(SUBSTITUTE(SUBSTITUTE(J4,"%","")," ",""))&lt;=0,"Not Started",IF(VALUE(SUBSTITUTE(SUBSTITUTE(J4,"%","")," ",""))&gt;=100,"Completed","In Progress")),"Not Started")</f>
        <v>In Progress</v>
      </c>
      <c r="J4" s="46">
        <v>1</v>
      </c>
      <c r="K4" s="130" t="s">
        <v>397</v>
      </c>
      <c r="L4" s="43" t="s">
        <v>398</v>
      </c>
      <c r="M4" s="129">
        <v>45308</v>
      </c>
      <c r="N4" s="18" t="b">
        <f>COUNTIF($O$4:O4,O4)&gt;1</f>
        <v>0</v>
      </c>
      <c r="O4" s="131" t="s">
        <v>97</v>
      </c>
    </row>
    <row r="5" spans="1:15" ht="15" customHeight="1" x14ac:dyDescent="0.25">
      <c r="A5" s="43">
        <v>2</v>
      </c>
      <c r="B5" s="127" t="s">
        <v>23</v>
      </c>
      <c r="C5" s="128" t="s">
        <v>18</v>
      </c>
      <c r="D5" s="43" t="s">
        <v>19</v>
      </c>
      <c r="E5" s="43" t="s">
        <v>27</v>
      </c>
      <c r="F5" s="129">
        <v>45299</v>
      </c>
      <c r="G5" s="129">
        <v>45309</v>
      </c>
      <c r="H5" s="43">
        <f t="shared" si="0"/>
        <v>10</v>
      </c>
      <c r="I5" s="43" t="str">
        <f t="shared" si="1"/>
        <v>In Progress</v>
      </c>
      <c r="J5" s="46">
        <v>1</v>
      </c>
      <c r="K5" s="130" t="s">
        <v>399</v>
      </c>
      <c r="L5" s="43" t="s">
        <v>400</v>
      </c>
      <c r="M5" s="129">
        <v>45311</v>
      </c>
      <c r="N5" s="18" t="str">
        <f>TRIM(CLEAN(O5))</f>
        <v>Priya Sharma</v>
      </c>
      <c r="O5" s="131" t="s">
        <v>99</v>
      </c>
    </row>
    <row r="6" spans="1:15" ht="15" customHeight="1" x14ac:dyDescent="0.25">
      <c r="A6" s="43">
        <v>3</v>
      </c>
      <c r="B6" s="127" t="s">
        <v>28</v>
      </c>
      <c r="C6" s="128" t="s">
        <v>18</v>
      </c>
      <c r="D6" s="43" t="s">
        <v>58</v>
      </c>
      <c r="E6" s="43" t="s">
        <v>21</v>
      </c>
      <c r="F6" s="129">
        <v>45306</v>
      </c>
      <c r="G6" s="129">
        <v>45316</v>
      </c>
      <c r="H6" s="43">
        <f t="shared" si="0"/>
        <v>10</v>
      </c>
      <c r="I6" s="43" t="str">
        <f t="shared" si="1"/>
        <v>In Progress</v>
      </c>
      <c r="J6" s="46">
        <v>1</v>
      </c>
      <c r="K6" s="130" t="s">
        <v>401</v>
      </c>
      <c r="L6" s="43" t="s">
        <v>402</v>
      </c>
      <c r="M6" s="129">
        <v>45318</v>
      </c>
      <c r="N6" s="18" t="str">
        <f>PROPER(O6)</f>
        <v>North West</v>
      </c>
      <c r="O6" s="131" t="s">
        <v>101</v>
      </c>
    </row>
    <row r="7" spans="1:15" ht="15" customHeight="1" x14ac:dyDescent="0.25">
      <c r="A7" s="43">
        <v>4</v>
      </c>
      <c r="B7" s="127" t="s">
        <v>32</v>
      </c>
      <c r="C7" s="132" t="s">
        <v>24</v>
      </c>
      <c r="D7" s="43" t="s">
        <v>54</v>
      </c>
      <c r="E7" s="43" t="s">
        <v>27</v>
      </c>
      <c r="F7" s="129">
        <v>45320</v>
      </c>
      <c r="G7" s="129">
        <v>45334</v>
      </c>
      <c r="H7" s="43">
        <f t="shared" si="0"/>
        <v>14</v>
      </c>
      <c r="I7" s="43" t="str">
        <f t="shared" si="1"/>
        <v>In Progress</v>
      </c>
      <c r="J7" s="46">
        <v>1</v>
      </c>
      <c r="K7" s="130" t="s">
        <v>403</v>
      </c>
      <c r="L7" s="43" t="s">
        <v>404</v>
      </c>
      <c r="M7" s="129">
        <v>45336</v>
      </c>
      <c r="N7" s="18">
        <f>DATEVALUE(O7)</f>
        <v>45320</v>
      </c>
      <c r="O7" s="131" t="s">
        <v>103</v>
      </c>
    </row>
    <row r="8" spans="1:15" ht="15" customHeight="1" x14ac:dyDescent="0.25">
      <c r="A8" s="43">
        <v>5</v>
      </c>
      <c r="B8" s="127" t="s">
        <v>36</v>
      </c>
      <c r="C8" s="132" t="s">
        <v>24</v>
      </c>
      <c r="D8" s="43" t="s">
        <v>25</v>
      </c>
      <c r="E8" s="43" t="s">
        <v>21</v>
      </c>
      <c r="F8" s="129">
        <v>45327</v>
      </c>
      <c r="G8" s="129">
        <v>45341</v>
      </c>
      <c r="H8" s="43">
        <f t="shared" si="0"/>
        <v>14</v>
      </c>
      <c r="I8" s="43" t="str">
        <f t="shared" si="1"/>
        <v>In Progress</v>
      </c>
      <c r="J8" s="46">
        <v>1</v>
      </c>
      <c r="K8" s="130" t="s">
        <v>405</v>
      </c>
      <c r="L8" s="43" t="s">
        <v>406</v>
      </c>
      <c r="M8" s="129">
        <v>45343</v>
      </c>
      <c r="N8" s="18" t="str">
        <f>IF(O8="","Unknown",O8)</f>
        <v>Unknown</v>
      </c>
      <c r="O8" s="131"/>
    </row>
    <row r="9" spans="1:15" ht="15" customHeight="1" x14ac:dyDescent="0.25">
      <c r="A9" s="48">
        <v>6</v>
      </c>
      <c r="B9" s="133" t="s">
        <v>39</v>
      </c>
      <c r="C9" s="132" t="s">
        <v>24</v>
      </c>
      <c r="D9" s="48" t="s">
        <v>41</v>
      </c>
      <c r="E9" s="48" t="s">
        <v>51</v>
      </c>
      <c r="F9" s="134">
        <v>45334</v>
      </c>
      <c r="G9" s="134">
        <v>45346</v>
      </c>
      <c r="H9" s="48">
        <f t="shared" si="0"/>
        <v>12</v>
      </c>
      <c r="I9" s="48" t="str">
        <f t="shared" si="1"/>
        <v>In Progress</v>
      </c>
      <c r="J9" s="51">
        <v>0.65</v>
      </c>
      <c r="K9" s="135" t="s">
        <v>407</v>
      </c>
      <c r="L9" s="48" t="s">
        <v>408</v>
      </c>
      <c r="M9" s="134">
        <v>45348</v>
      </c>
      <c r="N9" s="18" t="str">
        <f>LEFT(O9,FIND(" ",O9)-1)</f>
        <v>Karan</v>
      </c>
      <c r="O9" s="131" t="s">
        <v>41</v>
      </c>
    </row>
    <row r="10" spans="1:15" ht="15" customHeight="1" x14ac:dyDescent="0.25">
      <c r="A10" s="48">
        <v>7</v>
      </c>
      <c r="B10" s="133" t="s">
        <v>40</v>
      </c>
      <c r="C10" s="136" t="s">
        <v>29</v>
      </c>
      <c r="D10" s="48" t="s">
        <v>54</v>
      </c>
      <c r="E10" s="48" t="s">
        <v>27</v>
      </c>
      <c r="F10" s="134">
        <v>45355</v>
      </c>
      <c r="G10" s="134">
        <v>45369</v>
      </c>
      <c r="H10" s="48">
        <f t="shared" si="0"/>
        <v>14</v>
      </c>
      <c r="I10" s="48" t="str">
        <f t="shared" si="1"/>
        <v>In Progress</v>
      </c>
      <c r="J10" s="51">
        <v>0.4</v>
      </c>
      <c r="K10" s="135" t="s">
        <v>409</v>
      </c>
      <c r="L10" s="48" t="s">
        <v>410</v>
      </c>
      <c r="M10" s="134">
        <v>45371</v>
      </c>
      <c r="N10" s="29">
        <f>VALUE(SUBSTITUTE(SUBSTITUTE(O10,"Rs. ",""),",",""))</f>
        <v>150000</v>
      </c>
      <c r="O10" s="131" t="s">
        <v>107</v>
      </c>
    </row>
    <row r="11" spans="1:15" ht="15" customHeight="1" x14ac:dyDescent="0.25">
      <c r="A11" s="53">
        <v>8</v>
      </c>
      <c r="B11" s="137" t="s">
        <v>42</v>
      </c>
      <c r="C11" s="136" t="s">
        <v>29</v>
      </c>
      <c r="D11" s="53" t="s">
        <v>47</v>
      </c>
      <c r="E11" s="53" t="s">
        <v>21</v>
      </c>
      <c r="F11" s="138">
        <v>45362</v>
      </c>
      <c r="G11" s="138">
        <v>45376</v>
      </c>
      <c r="H11" s="53">
        <f t="shared" si="0"/>
        <v>14</v>
      </c>
      <c r="I11" s="53" t="str">
        <f t="shared" si="1"/>
        <v>Not Started</v>
      </c>
      <c r="J11" s="56">
        <v>0</v>
      </c>
      <c r="K11" s="139" t="s">
        <v>411</v>
      </c>
      <c r="L11" s="53" t="s">
        <v>412</v>
      </c>
      <c r="M11" s="138">
        <v>45378</v>
      </c>
      <c r="N11" s="18" t="str">
        <f>IF(AND(O11&gt;=18,O11&lt;=65),"Valid","Invalid")</f>
        <v>Valid</v>
      </c>
      <c r="O11" s="131">
        <v>45</v>
      </c>
    </row>
    <row r="12" spans="1:15" ht="15" customHeight="1" x14ac:dyDescent="0.25">
      <c r="A12" s="53">
        <v>9</v>
      </c>
      <c r="B12" s="137" t="s">
        <v>44</v>
      </c>
      <c r="C12" s="136" t="s">
        <v>29</v>
      </c>
      <c r="D12" s="53" t="s">
        <v>45</v>
      </c>
      <c r="E12" s="53" t="s">
        <v>21</v>
      </c>
      <c r="F12" s="138">
        <v>45369</v>
      </c>
      <c r="G12" s="138">
        <v>45383</v>
      </c>
      <c r="H12" s="53">
        <f t="shared" si="0"/>
        <v>14</v>
      </c>
      <c r="I12" s="53" t="str">
        <f t="shared" si="1"/>
        <v>Not Started</v>
      </c>
      <c r="J12" s="56">
        <v>0</v>
      </c>
      <c r="K12" s="139" t="s">
        <v>413</v>
      </c>
      <c r="L12" s="53" t="s">
        <v>414</v>
      </c>
      <c r="M12" s="138">
        <v>45385</v>
      </c>
      <c r="N12" s="18" t="str">
        <f>PROPER(UPPER(O12))</f>
        <v>Electronics</v>
      </c>
      <c r="O12" s="131" t="s">
        <v>110</v>
      </c>
    </row>
    <row r="13" spans="1:15" ht="15" customHeight="1" x14ac:dyDescent="0.25">
      <c r="A13" s="53">
        <v>10</v>
      </c>
      <c r="B13" s="137" t="s">
        <v>46</v>
      </c>
      <c r="C13" s="140" t="s">
        <v>33</v>
      </c>
      <c r="D13" s="53" t="s">
        <v>57</v>
      </c>
      <c r="E13" s="53" t="s">
        <v>51</v>
      </c>
      <c r="F13" s="138">
        <v>45397</v>
      </c>
      <c r="G13" s="138">
        <v>45411</v>
      </c>
      <c r="H13" s="53">
        <f t="shared" si="0"/>
        <v>14</v>
      </c>
      <c r="I13" s="53" t="str">
        <f t="shared" si="1"/>
        <v>Not Started</v>
      </c>
      <c r="J13" s="56">
        <v>0</v>
      </c>
      <c r="K13" s="139" t="s">
        <v>415</v>
      </c>
      <c r="L13" s="53" t="s">
        <v>416</v>
      </c>
      <c r="M13" s="138">
        <v>45413</v>
      </c>
      <c r="N13" s="18" t="str">
        <f>O13&amp;", Mumbai, 400001"</f>
        <v>123 Main St, Mumbai, 400001</v>
      </c>
      <c r="O13" s="131" t="s">
        <v>112</v>
      </c>
    </row>
    <row r="16" spans="1:15" x14ac:dyDescent="0.25">
      <c r="A16" t="s">
        <v>417</v>
      </c>
      <c r="F16" t="s">
        <v>418</v>
      </c>
    </row>
    <row r="17" spans="1:7" x14ac:dyDescent="0.25">
      <c r="A17" s="36" t="s">
        <v>419</v>
      </c>
      <c r="B17" s="36" t="s">
        <v>420</v>
      </c>
      <c r="C17" s="36" t="s">
        <v>421</v>
      </c>
      <c r="D17" s="36" t="s">
        <v>422</v>
      </c>
      <c r="F17" s="36" t="s">
        <v>9</v>
      </c>
      <c r="G17" s="36" t="s">
        <v>423</v>
      </c>
    </row>
    <row r="18" spans="1:7" x14ac:dyDescent="0.25">
      <c r="A18" s="43" t="s">
        <v>424</v>
      </c>
      <c r="B18" s="43" t="s">
        <v>425</v>
      </c>
      <c r="C18" s="43" t="s">
        <v>426</v>
      </c>
      <c r="D18" s="163">
        <f>IFERROR(SUMPRODUCT((COUNTIF($B$4:$B$500,$B$4:$B$500)&gt;1)*1)/2,0)</f>
        <v>1</v>
      </c>
      <c r="F18" s="43" t="s">
        <v>64</v>
      </c>
      <c r="G18" s="43">
        <f>COUNTIF('Cleaned Data'!$I$4:$I$500,"Completed")</f>
        <v>0</v>
      </c>
    </row>
    <row r="19" spans="1:7" x14ac:dyDescent="0.25">
      <c r="A19" s="43" t="s">
        <v>427</v>
      </c>
      <c r="B19" s="43" t="s">
        <v>428</v>
      </c>
      <c r="C19" s="43" t="s">
        <v>429</v>
      </c>
      <c r="D19" s="163">
        <f>IFERROR(ROUND(AVERAGE('Cleaned Data'!$N$4:$N$500)/1000,2),0)</f>
        <v>55.97</v>
      </c>
      <c r="F19" s="43" t="s">
        <v>65</v>
      </c>
      <c r="G19" s="43">
        <f>COUNTIF('Cleaned Data'!$I$4:$I$500,"In Progress")</f>
        <v>97</v>
      </c>
    </row>
    <row r="20" spans="1:7" x14ac:dyDescent="0.25">
      <c r="A20" s="43" t="s">
        <v>430</v>
      </c>
      <c r="B20" s="43" t="s">
        <v>428</v>
      </c>
      <c r="C20" s="43" t="s">
        <v>431</v>
      </c>
      <c r="D20" s="163">
        <f>IFERROR(ROUND(SUM('Cleaned Data'!$N$4:$N$500)/100000,2),0)</f>
        <v>67.16</v>
      </c>
      <c r="F20" s="43" t="s">
        <v>66</v>
      </c>
      <c r="G20" s="43">
        <f>COUNTIF('Cleaned Data'!$I$4:$I$500,"Not Started")</f>
        <v>23</v>
      </c>
    </row>
    <row r="21" spans="1:7" x14ac:dyDescent="0.25">
      <c r="A21" s="43" t="s">
        <v>432</v>
      </c>
      <c r="B21" s="43" t="s">
        <v>433</v>
      </c>
      <c r="C21" s="43" t="s">
        <v>434</v>
      </c>
      <c r="D21" s="163">
        <f>IFERROR(ROUND((COUNTIF('Cleaned Data'!$I$4:$I$500,"Completed")/COUNTA('Cleaned Data'!$A$4:$A$500))*100,2),0)</f>
        <v>0</v>
      </c>
    </row>
    <row r="22" spans="1:7" x14ac:dyDescent="0.25">
      <c r="A22" s="43" t="s">
        <v>435</v>
      </c>
      <c r="B22" s="43" t="s">
        <v>436</v>
      </c>
      <c r="C22" s="43" t="s">
        <v>437</v>
      </c>
      <c r="D22" s="163">
        <f>IFERROR(ROUND((COUNTIF('Cleaned Data'!$P$4:$P$500,"On Track")/COUNTA('Cleaned Data'!$A$4:$A$500))*100,2),0)</f>
        <v>0</v>
      </c>
    </row>
  </sheetData>
  <mergeCells count="1">
    <mergeCell ref="A1:L1"/>
  </mergeCells>
  <hyperlinks>
    <hyperlink ref="L2" location="'Project Overview'!A1" display="← Back to Project Overview" xr:uid="{00000000-0004-0000-05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showGridLines="0" zoomScale="90" zoomScaleNormal="90" workbookViewId="0">
      <pane ySplit="3" topLeftCell="A10" activePane="bottomLeft" state="frozen"/>
      <selection activeCell="D24" sqref="D24"/>
      <selection pane="bottomLeft" activeCell="A25" sqref="A25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164" t="s">
        <v>462</v>
      </c>
      <c r="B1" s="165"/>
      <c r="C1" s="165"/>
      <c r="D1" s="165"/>
      <c r="E1" s="165"/>
      <c r="F1" s="165"/>
    </row>
    <row r="2" spans="1:6" ht="17.25" customHeight="1" x14ac:dyDescent="0.25">
      <c r="F2" s="160" t="s">
        <v>0</v>
      </c>
    </row>
    <row r="3" spans="1:6" ht="27.75" customHeight="1" x14ac:dyDescent="0.25">
      <c r="A3" s="36" t="s">
        <v>1</v>
      </c>
      <c r="B3" s="36" t="s">
        <v>438</v>
      </c>
      <c r="C3" s="36" t="s">
        <v>439</v>
      </c>
      <c r="D3" s="36" t="s">
        <v>440</v>
      </c>
      <c r="E3" s="36" t="s">
        <v>441</v>
      </c>
      <c r="F3" s="36" t="s">
        <v>9</v>
      </c>
    </row>
    <row r="4" spans="1:6" ht="15" customHeight="1" x14ac:dyDescent="0.25">
      <c r="A4" s="141">
        <v>1</v>
      </c>
      <c r="B4" s="142" t="s">
        <v>442</v>
      </c>
      <c r="C4" s="143" t="s">
        <v>443</v>
      </c>
      <c r="D4" s="141" t="s">
        <v>52</v>
      </c>
      <c r="E4" s="144">
        <v>45313</v>
      </c>
      <c r="F4" s="141" t="s">
        <v>64</v>
      </c>
    </row>
    <row r="5" spans="1:6" ht="15" customHeight="1" x14ac:dyDescent="0.25">
      <c r="A5" s="141">
        <v>2</v>
      </c>
      <c r="B5" s="142" t="s">
        <v>444</v>
      </c>
      <c r="C5" s="143" t="s">
        <v>445</v>
      </c>
      <c r="D5" s="141" t="s">
        <v>19</v>
      </c>
      <c r="E5" s="144">
        <v>45313</v>
      </c>
      <c r="F5" s="141" t="s">
        <v>64</v>
      </c>
    </row>
    <row r="6" spans="1:6" ht="15" customHeight="1" x14ac:dyDescent="0.25">
      <c r="A6" s="141">
        <v>3</v>
      </c>
      <c r="B6" s="142" t="s">
        <v>446</v>
      </c>
      <c r="C6" s="143" t="s">
        <v>447</v>
      </c>
      <c r="D6" s="141" t="s">
        <v>58</v>
      </c>
      <c r="E6" s="144">
        <v>45327</v>
      </c>
      <c r="F6" s="141" t="s">
        <v>64</v>
      </c>
    </row>
    <row r="7" spans="1:6" ht="15" customHeight="1" x14ac:dyDescent="0.25">
      <c r="A7" s="141">
        <v>4</v>
      </c>
      <c r="B7" s="142" t="s">
        <v>448</v>
      </c>
      <c r="C7" s="143" t="s">
        <v>449</v>
      </c>
      <c r="D7" s="141" t="s">
        <v>54</v>
      </c>
      <c r="E7" s="144">
        <v>45327</v>
      </c>
      <c r="F7" s="141" t="s">
        <v>64</v>
      </c>
    </row>
    <row r="8" spans="1:6" ht="15" customHeight="1" x14ac:dyDescent="0.25">
      <c r="A8" s="141">
        <v>5</v>
      </c>
      <c r="B8" s="142" t="s">
        <v>450</v>
      </c>
      <c r="C8" s="143" t="s">
        <v>451</v>
      </c>
      <c r="D8" s="141" t="s">
        <v>25</v>
      </c>
      <c r="E8" s="144">
        <v>45341</v>
      </c>
      <c r="F8" s="141" t="s">
        <v>64</v>
      </c>
    </row>
    <row r="9" spans="1:6" ht="15" customHeight="1" x14ac:dyDescent="0.25">
      <c r="A9" s="145">
        <v>6</v>
      </c>
      <c r="B9" s="146" t="s">
        <v>452</v>
      </c>
      <c r="C9" s="147" t="s">
        <v>453</v>
      </c>
      <c r="D9" s="145" t="s">
        <v>41</v>
      </c>
      <c r="E9" s="148">
        <v>45358</v>
      </c>
      <c r="F9" s="145" t="s">
        <v>65</v>
      </c>
    </row>
    <row r="10" spans="1:6" ht="15" customHeight="1" x14ac:dyDescent="0.25">
      <c r="A10" s="145">
        <v>7</v>
      </c>
      <c r="B10" s="146" t="s">
        <v>454</v>
      </c>
      <c r="C10" s="147" t="s">
        <v>455</v>
      </c>
      <c r="D10" s="145" t="s">
        <v>45</v>
      </c>
      <c r="E10" s="148">
        <v>45372</v>
      </c>
      <c r="F10" s="145" t="s">
        <v>65</v>
      </c>
    </row>
    <row r="11" spans="1:6" ht="15" customHeight="1" x14ac:dyDescent="0.25">
      <c r="A11" s="149">
        <v>8</v>
      </c>
      <c r="B11" s="150" t="s">
        <v>456</v>
      </c>
      <c r="C11" s="151" t="s">
        <v>457</v>
      </c>
      <c r="D11" s="149" t="s">
        <v>47</v>
      </c>
      <c r="E11" s="152">
        <v>45372</v>
      </c>
      <c r="F11" s="153" t="s">
        <v>66</v>
      </c>
    </row>
    <row r="12" spans="1:6" ht="15" customHeight="1" x14ac:dyDescent="0.25">
      <c r="A12" s="149">
        <v>9</v>
      </c>
      <c r="B12" s="150" t="s">
        <v>458</v>
      </c>
      <c r="C12" s="151" t="s">
        <v>459</v>
      </c>
      <c r="D12" s="149" t="s">
        <v>56</v>
      </c>
      <c r="E12" s="152">
        <v>45387</v>
      </c>
      <c r="F12" s="153" t="s">
        <v>66</v>
      </c>
    </row>
    <row r="13" spans="1:6" ht="21.75" customHeight="1" x14ac:dyDescent="0.25">
      <c r="A13" s="141">
        <v>10</v>
      </c>
      <c r="B13" s="142" t="s">
        <v>460</v>
      </c>
      <c r="C13" s="143" t="s">
        <v>461</v>
      </c>
      <c r="D13" s="141" t="s">
        <v>57</v>
      </c>
      <c r="E13" s="144">
        <v>45292</v>
      </c>
      <c r="F13" s="141" t="s">
        <v>64</v>
      </c>
    </row>
    <row r="14" spans="1:6" ht="15.75" customHeight="1" x14ac:dyDescent="0.25"/>
    <row r="15" spans="1:6" ht="39.75" hidden="1" customHeight="1" x14ac:dyDescent="0.25">
      <c r="A15" s="166"/>
      <c r="B15" s="167"/>
      <c r="C15" s="167"/>
      <c r="D15" s="167"/>
      <c r="E15" s="167"/>
      <c r="F15" s="167"/>
    </row>
    <row r="16" spans="1:6" ht="8.25" customHeight="1" x14ac:dyDescent="0.25"/>
    <row r="17" spans="1:2" ht="15" customHeight="1" x14ac:dyDescent="0.25">
      <c r="A17" s="154" t="s">
        <v>418</v>
      </c>
      <c r="B17" s="154" t="s">
        <v>423</v>
      </c>
    </row>
    <row r="18" spans="1:2" ht="15" customHeight="1" x14ac:dyDescent="0.25">
      <c r="A18" s="155" t="s">
        <v>64</v>
      </c>
      <c r="B18" s="155">
        <v>0</v>
      </c>
    </row>
    <row r="19" spans="1:2" ht="15" customHeight="1" x14ac:dyDescent="0.25">
      <c r="A19" s="155" t="s">
        <v>65</v>
      </c>
      <c r="B19" s="155">
        <v>97</v>
      </c>
    </row>
    <row r="20" spans="1:2" ht="15" customHeight="1" x14ac:dyDescent="0.25">
      <c r="A20" s="155" t="s">
        <v>66</v>
      </c>
      <c r="B20" s="155">
        <v>23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 Overview</vt:lpstr>
      <vt:lpstr>Raw Data</vt:lpstr>
      <vt:lpstr>Cleaned Data</vt:lpstr>
      <vt:lpstr>Gantt Chart</vt:lpstr>
      <vt:lpstr>Resource Planner</vt:lpstr>
      <vt:lpstr>Task Tracker</vt:lpstr>
      <vt:lpstr>Dashboard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4</cp:revision>
  <dcterms:created xsi:type="dcterms:W3CDTF">2026-05-19T06:36:09Z</dcterms:created>
  <dcterms:modified xsi:type="dcterms:W3CDTF">2026-05-20T06:44:14Z</dcterms:modified>
  <dc:language>en-US</dc:language>
</cp:coreProperties>
</file>