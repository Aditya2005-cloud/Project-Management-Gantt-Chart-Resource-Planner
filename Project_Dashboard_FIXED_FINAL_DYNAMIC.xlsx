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849" firstSheet="0" activeTab="2" autoFilterDateGrouping="1"/>
  </bookViews>
  <sheets>
    <sheet name="Project Overview" sheetId="1" state="visible" r:id="rId1"/>
    <sheet name="Raw Data" sheetId="2" state="visible" r:id="rId2"/>
    <sheet name="Cleaned Data" sheetId="3" state="visible" r:id="rId3"/>
    <sheet name="Gantt Chart" sheetId="4" state="visible" r:id="rId4"/>
    <sheet name="Resource Planner" sheetId="5" state="visible" r:id="rId5"/>
    <sheet name="Task Tracker" sheetId="6" state="visible" r:id="rId6"/>
    <sheet name="Dashboard Checklist" sheetId="7" state="visible" r:id="rId7"/>
  </sheets>
  <definedNames>
    <definedName name="_xlnm._FilterDatabase" localSheetId="1" hidden="1">'Raw Data'!$A$3:$O$153</definedName>
    <definedName name="_xlnm._FilterDatabase" localSheetId="2" hidden="1">'Cleaned Data'!$A$3:$P$153</definedName>
  </definedNames>
  <calcPr calcId="191029" fullCalcOnLoad="1" iterateDelta="0.0001" forceFullCalc="1"/>
</workbook>
</file>

<file path=xl/styles.xml><?xml version="1.0" encoding="utf-8"?>
<styleSheet xmlns="http://schemas.openxmlformats.org/spreadsheetml/2006/main">
  <numFmts count="6">
    <numFmt numFmtId="164" formatCode="dd\-mmm\-yyyy"/>
    <numFmt numFmtId="165" formatCode="\₹#,##0"/>
    <numFmt numFmtId="166" formatCode="dd\-mmm"/>
    <numFmt numFmtId="167" formatCode="dd\-mmm\-yy"/>
    <numFmt numFmtId="168" formatCode="mm/dd/yy"/>
    <numFmt numFmtId="169" formatCode="#,##0.0"/>
  </numFmts>
  <fonts count="46">
    <font>
      <name val="Calibri"/>
      <charset val="1"/>
      <family val="2"/>
      <color theme="1"/>
      <sz val="11"/>
    </font>
    <font>
      <name val="Calibri"/>
      <charset val="1"/>
      <b val="1"/>
      <color rgb="FFFFFFFF"/>
      <sz val="14"/>
    </font>
    <font>
      <name val="Calibri"/>
      <charset val="1"/>
      <i val="1"/>
      <color rgb="FFFFFFFF"/>
      <sz val="9"/>
    </font>
    <font>
      <name val="Calibri"/>
      <charset val="1"/>
      <b val="1"/>
      <color rgb="FFFFFFFF"/>
      <sz val="10"/>
    </font>
    <font>
      <name val="Calibri"/>
      <charset val="1"/>
      <b val="1"/>
      <sz val="9"/>
    </font>
    <font>
      <name val="Calibri"/>
      <charset val="1"/>
      <sz val="9"/>
    </font>
    <font>
      <name val="Calibri"/>
      <charset val="1"/>
      <b val="1"/>
      <color rgb="FF2C3E50"/>
      <sz val="12"/>
    </font>
    <font>
      <name val="Calibri"/>
      <charset val="1"/>
      <b val="1"/>
      <color rgb="FFFFFFFF"/>
      <sz val="9"/>
    </font>
    <font>
      <name val="Calibri"/>
      <charset val="1"/>
      <b val="1"/>
      <color rgb="FF2980B9"/>
      <sz val="9"/>
      <u val="single"/>
    </font>
    <font>
      <name val="Calibri"/>
      <charset val="1"/>
      <b val="1"/>
      <sz val="8"/>
    </font>
    <font>
      <name val="Calibri"/>
      <charset val="1"/>
      <i val="1"/>
      <sz val="9"/>
    </font>
    <font>
      <name val="Arial"/>
      <charset val="1"/>
      <b val="1"/>
      <color rgb="FFFFFFFF"/>
      <sz val="9"/>
    </font>
    <font>
      <name val="Calibri"/>
      <charset val="1"/>
      <b val="1"/>
      <color rgb="FF1A6B1A"/>
      <sz val="9"/>
    </font>
    <font>
      <name val="Calibri"/>
      <charset val="1"/>
      <color rgb="FF1A6B1A"/>
      <sz val="9"/>
    </font>
    <font>
      <name val="Courier New"/>
      <charset val="1"/>
      <b val="1"/>
      <color rgb="FF1A9C3E"/>
      <sz val="9"/>
    </font>
    <font>
      <name val="Arial"/>
      <charset val="1"/>
      <color rgb="FF555555"/>
      <sz val="9"/>
    </font>
    <font>
      <name val="Calibri"/>
      <charset val="1"/>
      <b val="1"/>
      <color rgb="FF8B5E00"/>
      <sz val="9"/>
    </font>
    <font>
      <name val="Calibri"/>
      <charset val="1"/>
      <color rgb="FF8B5E00"/>
      <sz val="9"/>
    </font>
    <font>
      <name val="Calibri"/>
      <charset val="1"/>
      <b val="1"/>
      <color rgb="FFCC0000"/>
      <sz val="9"/>
    </font>
    <font>
      <name val="Calibri"/>
      <charset val="1"/>
      <color rgb="FFCC0000"/>
      <sz val="9"/>
    </font>
    <font>
      <name val="Calibri"/>
      <charset val="1"/>
      <b val="1"/>
      <color rgb="FFFFFFFF"/>
      <sz val="12"/>
    </font>
    <font>
      <name val="Calibri"/>
      <charset val="1"/>
      <color rgb="FF000000"/>
      <sz val="9"/>
    </font>
    <font>
      <name val="Calibri"/>
      <charset val="1"/>
      <color rgb="FFCC3300"/>
      <sz val="9"/>
    </font>
    <font>
      <name val="Arial"/>
      <charset val="1"/>
      <b val="1"/>
      <color rgb="FFFFFFFF"/>
      <sz val="13"/>
    </font>
    <font>
      <name val="Arial"/>
      <charset val="1"/>
      <color rgb="FF0563C1"/>
      <sz val="9"/>
      <u val="single"/>
    </font>
    <font>
      <name val="Arial"/>
      <charset val="1"/>
      <b val="1"/>
      <color rgb="FFFFFFFF"/>
      <sz val="8"/>
    </font>
    <font>
      <name val="Arial"/>
      <charset val="1"/>
      <b val="1"/>
      <color rgb="FFFFFFFF"/>
      <sz val="10"/>
    </font>
    <font>
      <name val="Arial"/>
      <charset val="1"/>
      <sz val="9"/>
    </font>
    <font>
      <name val="Arial"/>
      <charset val="1"/>
      <b val="1"/>
      <sz val="9"/>
    </font>
    <font>
      <name val="Calibri"/>
      <charset val="1"/>
      <color rgb="FF4472C4"/>
      <sz val="11"/>
    </font>
    <font>
      <name val="Calibri"/>
      <charset val="1"/>
      <color rgb="FF70AD47"/>
      <sz val="11"/>
    </font>
    <font>
      <name val="Calibri"/>
      <charset val="1"/>
      <color rgb="FFED7D31"/>
      <sz val="11"/>
    </font>
    <font>
      <name val="Arial"/>
      <charset val="1"/>
      <b val="1"/>
      <color rgb="FF444444"/>
      <sz val="8"/>
    </font>
    <font>
      <name val="Calibri"/>
      <charset val="1"/>
      <color rgb="FFC00000"/>
      <sz val="11"/>
    </font>
    <font>
      <name val="Arial"/>
      <charset val="1"/>
      <b val="1"/>
      <color rgb="FF333333"/>
      <sz val="8"/>
    </font>
    <font>
      <name val="Arial"/>
      <charset val="1"/>
      <b val="1"/>
      <color rgb="FF999999"/>
      <sz val="8"/>
    </font>
    <font>
      <name val="Arial"/>
      <charset val="1"/>
      <color rgb="FF999999"/>
      <sz val="8"/>
    </font>
    <font>
      <name val="Calibri"/>
      <charset val="1"/>
      <b val="1"/>
      <i val="1"/>
      <color rgb="FF922B21"/>
      <sz val="9"/>
    </font>
    <font>
      <name val="Calibri"/>
      <charset val="1"/>
      <b val="1"/>
      <i val="1"/>
      <color rgb="FF1A6B1A"/>
      <sz val="9"/>
    </font>
    <font>
      <name val="Courier New"/>
      <charset val="1"/>
      <color rgb="FF00008B"/>
      <sz val="9"/>
    </font>
    <font>
      <name val="Calibri"/>
      <charset val="1"/>
      <b val="1"/>
      <color rgb="FF000000"/>
      <sz val="9"/>
    </font>
    <font>
      <name val="Calibri"/>
      <charset val="1"/>
      <b val="1"/>
      <i val="1"/>
      <color rgb="FF2980B9"/>
      <sz val="9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theme="10"/>
      <sz val="18"/>
      <u val="single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2"/>
    </font>
  </fonts>
  <fills count="40">
    <fill>
      <patternFill/>
    </fill>
    <fill>
      <patternFill patternType="gray125"/>
    </fill>
    <fill>
      <patternFill patternType="solid">
        <fgColor rgb="FF1A252F"/>
        <bgColor rgb="FF10174E"/>
      </patternFill>
    </fill>
    <fill>
      <patternFill patternType="solid">
        <fgColor rgb="FF2980B9"/>
        <bgColor rgb="FF196EBF"/>
      </patternFill>
    </fill>
    <fill>
      <patternFill patternType="solid">
        <fgColor rgb="FF2C3E50"/>
        <bgColor rgb="FF2C3E6B"/>
      </patternFill>
    </fill>
    <fill>
      <patternFill patternType="solid">
        <fgColor rgb="FFEBF5FB"/>
        <bgColor rgb="FFEEF2F7"/>
      </patternFill>
    </fill>
    <fill>
      <patternFill patternType="solid">
        <fgColor rgb="FFBDC3C7"/>
        <bgColor rgb="FFCCCCCC"/>
      </patternFill>
    </fill>
    <fill>
      <patternFill patternType="solid">
        <fgColor rgb="FFF8F9FA"/>
        <bgColor rgb="FFF5F5F5"/>
      </patternFill>
    </fill>
    <fill>
      <patternFill patternType="solid">
        <fgColor rgb="FFD6E4F0"/>
        <bgColor rgb="FFD6E8F7"/>
      </patternFill>
    </fill>
    <fill>
      <patternFill patternType="solid">
        <fgColor rgb="FFD5F5E3"/>
        <bgColor rgb="FFD5F0DE"/>
      </patternFill>
    </fill>
    <fill>
      <patternFill patternType="solid">
        <fgColor rgb="FFFEF9E7"/>
        <bgColor rgb="FFFFFDE7"/>
      </patternFill>
    </fill>
    <fill>
      <patternFill patternType="solid">
        <fgColor rgb="FFFADBD8"/>
        <bgColor rgb="FFFAD7D5"/>
      </patternFill>
    </fill>
    <fill>
      <patternFill patternType="solid">
        <fgColor rgb="FFEAECEE"/>
        <bgColor rgb="FFE8ECF5"/>
      </patternFill>
    </fill>
    <fill>
      <patternFill patternType="solid">
        <fgColor rgb="FF1A9C3E"/>
        <bgColor rgb="FF1A6B1A"/>
      </patternFill>
    </fill>
    <fill>
      <patternFill patternType="solid">
        <fgColor rgb="FF2C3E6B"/>
        <bgColor rgb="FF2C3E50"/>
      </patternFill>
    </fill>
    <fill>
      <patternFill patternType="solid">
        <fgColor rgb="FFEAFAF1"/>
        <bgColor rgb="FFEBF5FB"/>
      </patternFill>
    </fill>
    <fill>
      <patternFill patternType="solid">
        <fgColor rgb="FFFFFDE7"/>
        <bgColor rgb="FFFEF9E7"/>
      </patternFill>
    </fill>
    <fill>
      <patternFill patternType="solid">
        <fgColor rgb="FF922B21"/>
        <bgColor rgb="FFC0392B"/>
      </patternFill>
    </fill>
    <fill>
      <patternFill patternType="solid">
        <fgColor rgb="FF1A5276"/>
        <bgColor rgb="FF2C3E6B"/>
      </patternFill>
    </fill>
    <fill>
      <patternFill patternType="solid">
        <fgColor rgb="FFA9DFBF"/>
        <bgColor rgb="FFBDC3C7"/>
      </patternFill>
    </fill>
    <fill>
      <patternFill patternType="solid">
        <fgColor rgb="FFFAD7A0"/>
        <bgColor rgb="FFFAD7D5"/>
      </patternFill>
    </fill>
    <fill>
      <patternFill patternType="solid">
        <fgColor rgb="FFD6DBDF"/>
        <bgColor rgb="FFDDDDDD"/>
      </patternFill>
    </fill>
    <fill>
      <patternFill patternType="darkGray">
        <fgColor rgb="FF1A252F"/>
        <bgColor rgb="FF10174E"/>
      </patternFill>
    </fill>
    <fill>
      <patternFill patternType="solid">
        <fgColor rgb="FFEEF2F7"/>
        <bgColor rgb="FFF0F0F0"/>
      </patternFill>
    </fill>
    <fill>
      <patternFill patternType="darkGray">
        <fgColor rgb="FF196EBF"/>
        <bgColor rgb="FF2980B9"/>
      </patternFill>
    </fill>
    <fill>
      <patternFill patternType="solid">
        <fgColor rgb="FFD4700A"/>
        <bgColor rgb="FFED7D31"/>
      </patternFill>
    </fill>
    <fill>
      <patternFill patternType="solid">
        <fgColor rgb="FFD6E8F7"/>
        <bgColor rgb="FFD6E4F0"/>
      </patternFill>
    </fill>
    <fill>
      <patternFill patternType="solid">
        <fgColor rgb="FF2ECC71"/>
        <bgColor rgb="FF1A9C3E"/>
      </patternFill>
    </fill>
    <fill>
      <patternFill patternType="solid">
        <fgColor rgb="FFE8E8E8"/>
        <bgColor rgb="FFEAECEE"/>
      </patternFill>
    </fill>
    <fill>
      <patternFill patternType="solid">
        <fgColor rgb="FFF0F0F0"/>
        <bgColor rgb="FFEEF2F7"/>
      </patternFill>
    </fill>
    <fill>
      <patternFill patternType="solid">
        <fgColor rgb="FFD5F0DE"/>
        <bgColor rgb="FFD5F5E3"/>
      </patternFill>
    </fill>
    <fill>
      <patternFill patternType="solid">
        <fgColor rgb="FFF39C12"/>
        <bgColor rgb="FFED7D31"/>
      </patternFill>
    </fill>
    <fill>
      <patternFill patternType="solid">
        <fgColor rgb="FFFDE8D1"/>
        <bgColor rgb="FFFADBD8"/>
      </patternFill>
    </fill>
    <fill>
      <patternFill patternType="solid">
        <fgColor rgb="FFCCCCCC"/>
        <bgColor rgb="FFBDC3C7"/>
      </patternFill>
    </fill>
    <fill>
      <patternFill patternType="solid">
        <fgColor rgb="FFC0392B"/>
        <bgColor rgb="FFCC3300"/>
      </patternFill>
    </fill>
    <fill>
      <patternFill patternType="solid">
        <fgColor rgb="FFFAD7D5"/>
        <bgColor rgb="FFFADBD8"/>
      </patternFill>
    </fill>
    <fill>
      <patternFill patternType="solid">
        <fgColor rgb="FFE8ECF5"/>
        <bgColor rgb="FFEAECEE"/>
      </patternFill>
    </fill>
    <fill>
      <patternFill patternType="solid">
        <fgColor rgb="FFF5F5F5"/>
        <bgColor rgb="FFF8F9FA"/>
      </patternFill>
    </fill>
    <fill>
      <patternFill patternType="solid">
        <fgColor rgb="FFF1948A"/>
        <bgColor rgb="FFED7D31"/>
      </patternFill>
    </fill>
    <fill>
      <patternFill patternType="solid">
        <fgColor rgb="FFFDFEFE"/>
        <bgColor rgb="FFFFFFFF"/>
      </patternFill>
    </fill>
  </fills>
  <borders count="23">
    <border>
      <left/>
      <right/>
      <top/>
      <bottom/>
      <diagonal/>
    </border>
    <border>
      <left style="thin">
        <color rgb="FFAAB7B8"/>
      </left>
      <right/>
      <top style="thin">
        <color rgb="FFAAB7B8"/>
      </top>
      <bottom style="thin">
        <color rgb="FFAAB7B8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  <border>
      <left style="thin">
        <color rgb="FF4A6FA5"/>
      </left>
      <right style="thin">
        <color rgb="FF4A6FA5"/>
      </right>
      <top style="thin">
        <color rgb="FF4A6FA5"/>
      </top>
      <bottom style="thin">
        <color rgb="FF4A6FA5"/>
      </bottom>
      <diagonal/>
    </border>
    <border>
      <left style="thin">
        <color rgb="FF1A9C3E"/>
      </left>
      <right style="thin">
        <color rgb="FF1A9C3E"/>
      </right>
      <top style="thin">
        <color rgb="FF1A9C3E"/>
      </top>
      <bottom style="thin">
        <color rgb="FF1A9C3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B7B8"/>
      </top>
      <bottom style="thin">
        <color rgb="FFAAB7B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CC71"/>
      </left>
      <right style="thin">
        <color rgb="FF2ECC71"/>
      </right>
      <top style="thin">
        <color rgb="FF2ECC71"/>
      </top>
      <bottom style="thin">
        <color rgb="FF2ECC71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/>
      <right style="thin">
        <color rgb="FFAAB7B8"/>
      </right>
      <top style="thin">
        <color rgb="FFAAB7B8"/>
      </top>
      <bottom style="thin">
        <color rgb="FFAAB7B8"/>
      </bottom>
      <diagonal/>
    </border>
    <border>
      <left/>
      <right/>
      <top style="thin">
        <color rgb="FFAAB7B8"/>
      </top>
      <bottom/>
      <diagonal/>
    </border>
    <border>
      <left/>
      <right style="thin">
        <color rgb="FFAAB7B8"/>
      </right>
      <top style="thin">
        <color rgb="FFAAB7B8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42" fillId="0" borderId="0"/>
  </cellStyleXfs>
  <cellXfs count="226">
    <xf numFmtId="0" fontId="0" fillId="0" borderId="0" pivotButton="0" quotePrefix="0" xfId="0"/>
    <xf numFmtId="0" fontId="4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/>
    </xf>
    <xf numFmtId="0" fontId="9" fillId="12" borderId="2" applyAlignment="1" pivotButton="0" quotePrefix="0" xfId="0">
      <alignment horizontal="center" vertical="center"/>
    </xf>
    <xf numFmtId="0" fontId="11" fillId="13" borderId="3" applyAlignment="1" pivotButton="0" quotePrefix="0" xfId="0">
      <alignment horizontal="center" vertical="center"/>
    </xf>
    <xf numFmtId="0" fontId="11" fillId="14" borderId="3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  <xf numFmtId="0" fontId="14" fillId="15" borderId="4" applyAlignment="1" pivotButton="0" quotePrefix="0" xfId="0">
      <alignment horizontal="left" vertical="center" indent="1"/>
    </xf>
    <xf numFmtId="0" fontId="15" fillId="16" borderId="5" applyAlignment="1" pivotButton="0" quotePrefix="0" xfId="0">
      <alignment horizontal="left" vertical="center" indent="1"/>
    </xf>
    <xf numFmtId="0" fontId="12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left" vertical="center"/>
    </xf>
    <xf numFmtId="0" fontId="17" fillId="10" borderId="2" applyAlignment="1" pivotButton="0" quotePrefix="0" xfId="0">
      <alignment horizontal="center" vertical="center"/>
    </xf>
    <xf numFmtId="3" fontId="14" fillId="15" borderId="4" applyAlignment="1" pivotButton="0" quotePrefix="0" xfId="0">
      <alignment horizontal="left" vertical="center" indent="1"/>
    </xf>
    <xf numFmtId="0" fontId="18" fillId="10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left" vertical="center"/>
    </xf>
    <xf numFmtId="0" fontId="19" fillId="10" borderId="2" applyAlignment="1" pivotButton="0" quotePrefix="0" xfId="0">
      <alignment horizontal="center" vertical="center"/>
    </xf>
    <xf numFmtId="0" fontId="18" fillId="11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left" vertical="center"/>
    </xf>
    <xf numFmtId="0" fontId="19" fillId="11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center" vertical="center"/>
    </xf>
    <xf numFmtId="0" fontId="21" fillId="7" borderId="2" applyAlignment="1" pivotButton="0" quotePrefix="0" xfId="0">
      <alignment horizontal="left" vertical="center"/>
    </xf>
    <xf numFmtId="0" fontId="22" fillId="7" borderId="2" applyAlignment="1" pivotButton="0" quotePrefix="0" xfId="0">
      <alignment horizontal="center" vertical="center"/>
    </xf>
    <xf numFmtId="0" fontId="21" fillId="12" borderId="2" applyAlignment="1" pivotButton="0" quotePrefix="0" xfId="0">
      <alignment horizontal="center" vertical="center"/>
    </xf>
    <xf numFmtId="0" fontId="21" fillId="12" borderId="2" applyAlignment="1" pivotButton="0" quotePrefix="0" xfId="0">
      <alignment horizontal="left" vertical="center"/>
    </xf>
    <xf numFmtId="0" fontId="22" fillId="12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left" vertical="center"/>
    </xf>
    <xf numFmtId="164" fontId="5" fillId="19" borderId="2" applyAlignment="1" pivotButton="0" quotePrefix="0" xfId="0">
      <alignment horizontal="center" vertical="center"/>
    </xf>
    <xf numFmtId="9" fontId="5" fillId="19" borderId="2" applyAlignment="1" pivotButton="0" quotePrefix="0" xfId="0">
      <alignment horizontal="center" vertical="center"/>
    </xf>
    <xf numFmtId="165" fontId="5" fillId="19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left" vertical="center"/>
    </xf>
    <xf numFmtId="164" fontId="5" fillId="20" borderId="2" applyAlignment="1" pivotButton="0" quotePrefix="0" xfId="0">
      <alignment horizontal="center" vertical="center"/>
    </xf>
    <xf numFmtId="9" fontId="5" fillId="20" borderId="2" applyAlignment="1" pivotButton="0" quotePrefix="0" xfId="0">
      <alignment horizontal="center" vertical="center"/>
    </xf>
    <xf numFmtId="165" fontId="5" fillId="20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left" vertical="center"/>
    </xf>
    <xf numFmtId="164" fontId="5" fillId="21" borderId="2" applyAlignment="1" pivotButton="0" quotePrefix="0" xfId="0">
      <alignment horizontal="center" vertical="center"/>
    </xf>
    <xf numFmtId="9" fontId="5" fillId="21" borderId="2" applyAlignment="1" pivotButton="0" quotePrefix="0" xfId="0">
      <alignment horizontal="center" vertical="center"/>
    </xf>
    <xf numFmtId="165" fontId="5" fillId="21" borderId="2" applyAlignment="1" pivotButton="0" quotePrefix="0" xfId="0">
      <alignment horizontal="center" vertical="center"/>
    </xf>
    <xf numFmtId="0" fontId="0" fillId="22" borderId="0" pivotButton="0" quotePrefix="0" xfId="0"/>
    <xf numFmtId="0" fontId="24" fillId="23" borderId="0" applyAlignment="1" pivotButton="0" quotePrefix="0" xfId="0">
      <alignment horizontal="right" vertical="center"/>
    </xf>
    <xf numFmtId="0" fontId="0" fillId="23" borderId="0" pivotButton="0" quotePrefix="0" xfId="0"/>
    <xf numFmtId="0" fontId="11" fillId="14" borderId="3" applyAlignment="1" pivotButton="0" quotePrefix="0" xfId="0">
      <alignment horizontal="center" vertical="center" wrapText="1"/>
    </xf>
    <xf numFmtId="0" fontId="25" fillId="24" borderId="7" applyAlignment="1" pivotButton="0" quotePrefix="0" xfId="0">
      <alignment horizontal="center" vertical="center"/>
    </xf>
    <xf numFmtId="0" fontId="25" fillId="13" borderId="7" applyAlignment="1" pivotButton="0" quotePrefix="0" xfId="0">
      <alignment horizontal="center" vertical="center"/>
    </xf>
    <xf numFmtId="0" fontId="25" fillId="25" borderId="7" applyAlignment="1" pivotButton="0" quotePrefix="0" xfId="0">
      <alignment horizontal="center" vertical="center"/>
    </xf>
    <xf numFmtId="0" fontId="26" fillId="24" borderId="1" applyAlignment="1" pivotButton="0" quotePrefix="0" xfId="0">
      <alignment horizontal="left" vertical="center" indent="1"/>
    </xf>
    <xf numFmtId="0" fontId="0" fillId="24" borderId="8" pivotButton="0" quotePrefix="0" xfId="0"/>
    <xf numFmtId="0" fontId="0" fillId="24" borderId="2" pivotButton="0" quotePrefix="0" xfId="0"/>
    <xf numFmtId="0" fontId="27" fillId="26" borderId="9" applyAlignment="1" pivotButton="0" quotePrefix="0" xfId="0">
      <alignment horizontal="center" vertical="center"/>
    </xf>
    <xf numFmtId="0" fontId="28" fillId="26" borderId="9" applyAlignment="1" pivotButton="0" quotePrefix="0" xfId="0">
      <alignment horizontal="left" vertical="center" indent="1"/>
    </xf>
    <xf numFmtId="166" fontId="27" fillId="26" borderId="9" applyAlignment="1" pivotButton="0" quotePrefix="0" xfId="0">
      <alignment horizontal="center" vertical="center"/>
    </xf>
    <xf numFmtId="0" fontId="25" fillId="27" borderId="9" applyAlignment="1" pivotButton="0" quotePrefix="0" xfId="0">
      <alignment horizontal="center" vertical="center"/>
    </xf>
    <xf numFmtId="9" fontId="27" fillId="26" borderId="9" applyAlignment="1" pivotButton="0" quotePrefix="0" xfId="0">
      <alignment horizontal="center" vertical="center"/>
    </xf>
    <xf numFmtId="0" fontId="29" fillId="27" borderId="10" applyAlignment="1" pivotButton="0" quotePrefix="0" xfId="0">
      <alignment horizontal="center" vertical="center"/>
    </xf>
    <xf numFmtId="0" fontId="0" fillId="28" borderId="5" applyAlignment="1" pivotButton="0" quotePrefix="0" xfId="0">
      <alignment horizontal="center" vertical="center"/>
    </xf>
    <xf numFmtId="0" fontId="0" fillId="29" borderId="5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26" fillId="13" borderId="1" applyAlignment="1" pivotButton="0" quotePrefix="0" xfId="0">
      <alignment horizontal="left" vertical="center" indent="1"/>
    </xf>
    <xf numFmtId="0" fontId="0" fillId="13" borderId="8" pivotButton="0" quotePrefix="0" xfId="0"/>
    <xf numFmtId="0" fontId="0" fillId="13" borderId="2" pivotButton="0" quotePrefix="0" xfId="0"/>
    <xf numFmtId="0" fontId="27" fillId="30" borderId="9" applyAlignment="1" pivotButton="0" quotePrefix="0" xfId="0">
      <alignment horizontal="center" vertical="center"/>
    </xf>
    <xf numFmtId="0" fontId="28" fillId="30" borderId="9" applyAlignment="1" pivotButton="0" quotePrefix="0" xfId="0">
      <alignment horizontal="left" vertical="center" indent="1"/>
    </xf>
    <xf numFmtId="166" fontId="27" fillId="30" borderId="9" applyAlignment="1" pivotButton="0" quotePrefix="0" xfId="0">
      <alignment horizontal="center" vertical="center"/>
    </xf>
    <xf numFmtId="9" fontId="27" fillId="30" borderId="9" applyAlignment="1" pivotButton="0" quotePrefix="0" xfId="0">
      <alignment horizontal="center" vertical="center"/>
    </xf>
    <xf numFmtId="0" fontId="30" fillId="27" borderId="10" applyAlignment="1" pivotButton="0" quotePrefix="0" xfId="0">
      <alignment horizontal="center" vertical="center"/>
    </xf>
    <xf numFmtId="0" fontId="30" fillId="31" borderId="11" applyAlignment="1" pivotButton="0" quotePrefix="0" xfId="0">
      <alignment horizontal="center" vertical="center"/>
    </xf>
    <xf numFmtId="0" fontId="26" fillId="25" borderId="1" applyAlignment="1" pivotButton="0" quotePrefix="0" xfId="0">
      <alignment horizontal="left" vertical="center" indent="1"/>
    </xf>
    <xf numFmtId="0" fontId="0" fillId="25" borderId="8" pivotButton="0" quotePrefix="0" xfId="0"/>
    <xf numFmtId="0" fontId="0" fillId="25" borderId="2" pivotButton="0" quotePrefix="0" xfId="0"/>
    <xf numFmtId="0" fontId="27" fillId="32" borderId="9" applyAlignment="1" pivotButton="0" quotePrefix="0" xfId="0">
      <alignment horizontal="center" vertical="center"/>
    </xf>
    <xf numFmtId="0" fontId="28" fillId="32" borderId="9" applyAlignment="1" pivotButton="0" quotePrefix="0" xfId="0">
      <alignment horizontal="left" vertical="center" indent="1"/>
    </xf>
    <xf numFmtId="166" fontId="27" fillId="32" borderId="9" applyAlignment="1" pivotButton="0" quotePrefix="0" xfId="0">
      <alignment horizontal="center" vertical="center"/>
    </xf>
    <xf numFmtId="0" fontId="25" fillId="31" borderId="9" applyAlignment="1" pivotButton="0" quotePrefix="0" xfId="0">
      <alignment horizontal="center" vertical="center"/>
    </xf>
    <xf numFmtId="9" fontId="27" fillId="32" borderId="9" applyAlignment="1" pivotButton="0" quotePrefix="0" xfId="0">
      <alignment horizontal="center" vertical="center"/>
    </xf>
    <xf numFmtId="0" fontId="31" fillId="31" borderId="11" applyAlignment="1" pivotButton="0" quotePrefix="0" xfId="0">
      <alignment horizontal="center" vertical="center"/>
    </xf>
    <xf numFmtId="0" fontId="32" fillId="33" borderId="9" applyAlignment="1" pivotButton="0" quotePrefix="0" xfId="0">
      <alignment horizontal="center" vertical="center"/>
    </xf>
    <xf numFmtId="0" fontId="31" fillId="33" borderId="9" applyAlignment="1" pivotButton="0" quotePrefix="0" xfId="0">
      <alignment horizontal="center" vertical="center"/>
    </xf>
    <xf numFmtId="0" fontId="26" fillId="34" borderId="1" applyAlignment="1" pivotButton="0" quotePrefix="0" xfId="0">
      <alignment horizontal="left" vertical="center" indent="1"/>
    </xf>
    <xf numFmtId="0" fontId="0" fillId="34" borderId="8" pivotButton="0" quotePrefix="0" xfId="0"/>
    <xf numFmtId="0" fontId="0" fillId="34" borderId="2" pivotButton="0" quotePrefix="0" xfId="0"/>
    <xf numFmtId="0" fontId="27" fillId="35" borderId="9" applyAlignment="1" pivotButton="0" quotePrefix="0" xfId="0">
      <alignment horizontal="center" vertical="center"/>
    </xf>
    <xf numFmtId="0" fontId="28" fillId="35" borderId="9" applyAlignment="1" pivotButton="0" quotePrefix="0" xfId="0">
      <alignment horizontal="left" vertical="center" indent="1"/>
    </xf>
    <xf numFmtId="166" fontId="27" fillId="35" borderId="9" applyAlignment="1" pivotButton="0" quotePrefix="0" xfId="0">
      <alignment horizontal="center" vertical="center"/>
    </xf>
    <xf numFmtId="9" fontId="27" fillId="35" borderId="9" applyAlignment="1" pivotButton="0" quotePrefix="0" xfId="0">
      <alignment horizontal="center" vertical="center"/>
    </xf>
    <xf numFmtId="0" fontId="33" fillId="33" borderId="9" applyAlignment="1" pivotButton="0" quotePrefix="0" xfId="0">
      <alignment horizontal="center" vertical="center"/>
    </xf>
    <xf numFmtId="0" fontId="28" fillId="36" borderId="0" pivotButton="0" quotePrefix="0" xfId="0"/>
    <xf numFmtId="0" fontId="25" fillId="24" borderId="12" applyAlignment="1" pivotButton="0" quotePrefix="0" xfId="0">
      <alignment horizontal="center" vertical="center"/>
    </xf>
    <xf numFmtId="0" fontId="25" fillId="13" borderId="12" applyAlignment="1" pivotButton="0" quotePrefix="0" xfId="0">
      <alignment horizontal="center" vertical="center"/>
    </xf>
    <xf numFmtId="0" fontId="25" fillId="25" borderId="12" applyAlignment="1" pivotButton="0" quotePrefix="0" xfId="0">
      <alignment horizontal="center" vertical="center"/>
    </xf>
    <xf numFmtId="0" fontId="25" fillId="34" borderId="12" applyAlignment="1" pivotButton="0" quotePrefix="0" xfId="0">
      <alignment horizontal="center" vertical="center"/>
    </xf>
    <xf numFmtId="0" fontId="25" fillId="27" borderId="12" applyAlignment="1" pivotButton="0" quotePrefix="0" xfId="0">
      <alignment horizontal="center" vertical="center"/>
    </xf>
    <xf numFmtId="0" fontId="25" fillId="31" borderId="12" applyAlignment="1" pivotButton="0" quotePrefix="0" xfId="0">
      <alignment horizontal="center" vertical="center"/>
    </xf>
    <xf numFmtId="0" fontId="34" fillId="33" borderId="1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 wrapText="1"/>
    </xf>
    <xf numFmtId="165" fontId="5" fillId="7" borderId="2" applyAlignment="1" pivotButton="0" quotePrefix="0" xfId="0">
      <alignment horizontal="center" vertical="center"/>
    </xf>
    <xf numFmtId="9" fontId="5" fillId="7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left" vertical="center" wrapText="1"/>
    </xf>
    <xf numFmtId="165" fontId="5" fillId="12" borderId="2" applyAlignment="1" pivotButton="0" quotePrefix="0" xfId="0">
      <alignment horizontal="center" vertical="center"/>
    </xf>
    <xf numFmtId="9" fontId="5" fillId="12" borderId="2" applyAlignment="1" pivotButton="0" quotePrefix="0" xfId="0">
      <alignment horizontal="center" vertical="center"/>
    </xf>
    <xf numFmtId="165" fontId="4" fillId="6" borderId="2" applyAlignment="1" pivotButton="0" quotePrefix="0" xfId="0">
      <alignment horizontal="center" vertical="center"/>
    </xf>
    <xf numFmtId="9" fontId="4" fillId="6" borderId="2" applyAlignment="1" pivotButton="0" quotePrefix="0" xfId="0">
      <alignment horizontal="center" vertical="center"/>
    </xf>
    <xf numFmtId="0" fontId="35" fillId="37" borderId="0" pivotButton="0" quotePrefix="0" xfId="0"/>
    <xf numFmtId="0" fontId="4" fillId="19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167" fontId="5" fillId="19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left" vertical="center" wrapText="1"/>
    </xf>
    <xf numFmtId="0" fontId="36" fillId="37" borderId="13" applyAlignment="1" pivotButton="0" quotePrefix="0" xfId="0">
      <alignment horizontal="left" vertical="center" indent="1"/>
    </xf>
    <xf numFmtId="0" fontId="5" fillId="9" borderId="2" applyAlignment="1" pivotButton="0" quotePrefix="0" xfId="0">
      <alignment horizontal="center" vertical="center"/>
    </xf>
    <xf numFmtId="0" fontId="4" fillId="20" borderId="2" applyAlignment="1" pivotButton="0" quotePrefix="0" xfId="0">
      <alignment horizontal="left" vertical="center"/>
    </xf>
    <xf numFmtId="167" fontId="5" fillId="20" borderId="2" applyAlignment="1" pivotButton="0" quotePrefix="0" xfId="0">
      <alignment horizontal="center" vertical="center"/>
    </xf>
    <xf numFmtId="0" fontId="10" fillId="20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/>
    </xf>
    <xf numFmtId="0" fontId="4" fillId="21" borderId="2" applyAlignment="1" pivotButton="0" quotePrefix="0" xfId="0">
      <alignment horizontal="left" vertical="center"/>
    </xf>
    <xf numFmtId="167" fontId="5" fillId="21" borderId="2" applyAlignment="1" pivotButton="0" quotePrefix="0" xfId="0">
      <alignment horizontal="center" vertical="center"/>
    </xf>
    <xf numFmtId="0" fontId="10" fillId="2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/>
    </xf>
    <xf numFmtId="0" fontId="4" fillId="38" borderId="2" pivotButton="0" quotePrefix="0" xfId="0"/>
    <xf numFmtId="0" fontId="21" fillId="39" borderId="2" pivotButton="0" quotePrefix="0" xfId="0"/>
    <xf numFmtId="0" fontId="19" fillId="39" borderId="2" pivotButton="0" quotePrefix="0" xfId="0"/>
    <xf numFmtId="0" fontId="4" fillId="19" borderId="2" pivotButton="0" quotePrefix="0" xfId="0"/>
    <xf numFmtId="0" fontId="5" fillId="15" borderId="2" pivotButton="0" quotePrefix="0" xfId="0"/>
    <xf numFmtId="0" fontId="11" fillId="22" borderId="3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39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/>
    </xf>
    <xf numFmtId="0" fontId="39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168" fontId="14" fillId="15" borderId="4" applyAlignment="1" pivotButton="0" quotePrefix="0" xfId="0">
      <alignment horizontal="left" vertical="center" indent="1"/>
    </xf>
    <xf numFmtId="0" fontId="4" fillId="10" borderId="2" applyAlignment="1" pivotButton="0" quotePrefix="0" xfId="0">
      <alignment horizontal="left" vertical="center"/>
    </xf>
    <xf numFmtId="0" fontId="39" fillId="10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169" fontId="14" fillId="15" borderId="4" applyAlignment="1" pivotButton="0" quotePrefix="0" xfId="0">
      <alignment horizontal="left" vertical="center" indent="1"/>
    </xf>
    <xf numFmtId="1" fontId="14" fillId="15" borderId="4" applyAlignment="1" pivotButton="0" quotePrefix="0" xfId="0">
      <alignment horizontal="left" vertical="center" indent="1"/>
    </xf>
    <xf numFmtId="0" fontId="4" fillId="11" borderId="2" applyAlignment="1" pivotButton="0" quotePrefix="0" xfId="0">
      <alignment horizontal="left" vertical="center"/>
    </xf>
    <xf numFmtId="0" fontId="39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left" vertical="center" wrapText="1"/>
    </xf>
    <xf numFmtId="0" fontId="13" fillId="19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left" vertical="center" wrapText="1"/>
    </xf>
    <xf numFmtId="0" fontId="13" fillId="19" borderId="2" applyAlignment="1" pivotButton="0" quotePrefix="0" xfId="0">
      <alignment horizontal="left" vertical="center" wrapText="1"/>
    </xf>
    <xf numFmtId="167" fontId="13" fillId="19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center" vertical="center"/>
    </xf>
    <xf numFmtId="0" fontId="16" fillId="20" borderId="2" applyAlignment="1" pivotButton="0" quotePrefix="0" xfId="0">
      <alignment horizontal="left" vertical="center" wrapText="1"/>
    </xf>
    <xf numFmtId="0" fontId="17" fillId="20" borderId="2" applyAlignment="1" pivotButton="0" quotePrefix="0" xfId="0">
      <alignment horizontal="left" vertical="center" wrapText="1"/>
    </xf>
    <xf numFmtId="167" fontId="17" fillId="20" borderId="2" applyAlignment="1" pivotButton="0" quotePrefix="0" xfId="0">
      <alignment horizontal="center" vertical="center"/>
    </xf>
    <xf numFmtId="0" fontId="21" fillId="21" borderId="2" applyAlignment="1" pivotButton="0" quotePrefix="0" xfId="0">
      <alignment horizontal="center" vertical="center"/>
    </xf>
    <xf numFmtId="0" fontId="40" fillId="21" borderId="2" applyAlignment="1" pivotButton="0" quotePrefix="0" xfId="0">
      <alignment horizontal="left" vertical="center" wrapText="1"/>
    </xf>
    <xf numFmtId="0" fontId="21" fillId="21" borderId="2" applyAlignment="1" pivotButton="0" quotePrefix="0" xfId="0">
      <alignment horizontal="left" vertical="center" wrapText="1"/>
    </xf>
    <xf numFmtId="167" fontId="21" fillId="21" borderId="2" applyAlignment="1" pivotButton="0" quotePrefix="0" xfId="0">
      <alignment horizontal="center" vertical="center"/>
    </xf>
    <xf numFmtId="0" fontId="19" fillId="21" borderId="2" applyAlignment="1" pivotButton="0" quotePrefix="0" xfId="0">
      <alignment horizontal="center" vertical="center"/>
    </xf>
    <xf numFmtId="0" fontId="4" fillId="6" borderId="2" pivotButton="0" quotePrefix="0" xfId="0"/>
    <xf numFmtId="0" fontId="0" fillId="0" borderId="2" pivotButton="0" quotePrefix="0" xfId="0"/>
    <xf numFmtId="0" fontId="42" fillId="8" borderId="2" applyAlignment="1" pivotButton="0" quotePrefix="0" xfId="1">
      <alignment horizontal="center" vertical="center"/>
    </xf>
    <xf numFmtId="0" fontId="42" fillId="9" borderId="2" applyAlignment="1" pivotButton="0" quotePrefix="0" xfId="1">
      <alignment horizontal="center" vertical="center"/>
    </xf>
    <xf numFmtId="0" fontId="42" fillId="10" borderId="2" applyAlignment="1" pivotButton="0" quotePrefix="0" xfId="1">
      <alignment horizontal="center" vertical="center"/>
    </xf>
    <xf numFmtId="0" fontId="42" fillId="11" borderId="2" applyAlignment="1" pivotButton="0" quotePrefix="0" xfId="1">
      <alignment horizontal="center" vertical="center"/>
    </xf>
    <xf numFmtId="0" fontId="42" fillId="12" borderId="2" applyAlignment="1" pivotButton="0" quotePrefix="0" xfId="1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4" fillId="6" borderId="1" pivotButton="0" quotePrefix="0" xfId="0"/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0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20" fillId="17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23" fillId="22" borderId="0" applyAlignment="1" pivotButton="0" quotePrefix="0" xfId="0">
      <alignment horizontal="left" vertical="center"/>
    </xf>
    <xf numFmtId="0" fontId="11" fillId="24" borderId="6" applyAlignment="1" pivotButton="0" quotePrefix="0" xfId="0">
      <alignment horizontal="center" vertical="center"/>
    </xf>
    <xf numFmtId="0" fontId="11" fillId="13" borderId="6" applyAlignment="1" pivotButton="0" quotePrefix="0" xfId="0">
      <alignment horizontal="center" vertical="center"/>
    </xf>
    <xf numFmtId="0" fontId="11" fillId="25" borderId="6" applyAlignment="1" pivotButton="0" quotePrefix="0" xfId="0">
      <alignment horizontal="center" vertical="center"/>
    </xf>
    <xf numFmtId="0" fontId="0" fillId="14" borderId="0" pivotButton="0" quotePrefix="0" xfId="0"/>
    <xf numFmtId="0" fontId="0" fillId="0" borderId="0" pivotButton="0" quotePrefix="0" xfId="0"/>
    <xf numFmtId="0" fontId="27" fillId="26" borderId="9" applyAlignment="1" pivotButton="0" quotePrefix="0" xfId="0">
      <alignment horizontal="center" vertical="center"/>
    </xf>
    <xf numFmtId="0" fontId="27" fillId="30" borderId="9" applyAlignment="1" pivotButton="0" quotePrefix="0" xfId="0">
      <alignment horizontal="center" vertical="center"/>
    </xf>
    <xf numFmtId="0" fontId="27" fillId="32" borderId="9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7" fillId="11" borderId="1" pivotButton="0" quotePrefix="0" xfId="0"/>
    <xf numFmtId="0" fontId="38" fillId="9" borderId="1" pivotButton="0" quotePrefix="0" xfId="0"/>
    <xf numFmtId="0" fontId="41" fillId="5" borderId="1" applyAlignment="1" pivotButton="0" quotePrefix="0" xfId="0">
      <alignment horizontal="left" vertical="center" wrapText="1"/>
    </xf>
    <xf numFmtId="0" fontId="10" fillId="8" borderId="8" applyAlignment="1" pivotButton="0" quotePrefix="0" xfId="0">
      <alignment horizontal="left" vertical="center"/>
    </xf>
    <xf numFmtId="0" fontId="10" fillId="8" borderId="14" applyAlignment="1" pivotButton="0" quotePrefix="0" xfId="0">
      <alignment horizontal="left" vertical="center"/>
    </xf>
    <xf numFmtId="0" fontId="3" fillId="4" borderId="8" applyAlignment="1" pivotButton="0" quotePrefix="0" xfId="0">
      <alignment horizontal="center" vertical="center"/>
    </xf>
    <xf numFmtId="0" fontId="42" fillId="0" borderId="0" applyAlignment="1" pivotButton="0" quotePrefix="0" xfId="1">
      <alignment horizontal="right" vertical="center"/>
    </xf>
    <xf numFmtId="0" fontId="43" fillId="23" borderId="0" pivotButton="0" quotePrefix="0" xfId="1"/>
    <xf numFmtId="0" fontId="44" fillId="2" borderId="0" applyAlignment="1" pivotButton="0" quotePrefix="0" xfId="0">
      <alignment horizontal="center" vertical="center"/>
    </xf>
    <xf numFmtId="0" fontId="45" fillId="18" borderId="0" applyAlignment="1" pivotButton="0" quotePrefix="0" xfId="0">
      <alignment horizontal="center" vertical="center"/>
    </xf>
    <xf numFmtId="0" fontId="0" fillId="0" borderId="8" pivotButton="0" quotePrefix="0" xfId="0"/>
    <xf numFmtId="0" fontId="10" fillId="8" borderId="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19" pivotButton="0" quotePrefix="0" xfId="0"/>
    <xf numFmtId="0" fontId="0" fillId="0" borderId="20" pivotButton="0" quotePrefix="0" xfId="0"/>
    <xf numFmtId="9" fontId="6" fillId="7" borderId="2" applyAlignment="1" pivotButton="0" quotePrefix="0" xfId="0">
      <alignment horizontal="center" vertical="center"/>
    </xf>
    <xf numFmtId="2" fontId="5" fillId="19" borderId="2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CC0000"/>
      <rgbColor rgb="FFDDDDDD"/>
      <rgbColor rgb="FFEBF5FB"/>
      <rgbColor rgb="FFFEF9E7"/>
      <rgbColor rgb="FFE8E8E8"/>
      <rgbColor rgb="FFD6E8F7"/>
      <rgbColor rgb="FFC00000"/>
      <rgbColor rgb="FF1A6B1A"/>
      <rgbColor rgb="FFF8F9FA"/>
      <rgbColor rgb="FF8B5E00"/>
      <rgbColor rgb="FFE8ECF5"/>
      <rgbColor rgb="FF2980B9"/>
      <rgbColor rgb="FFBDC3C7"/>
      <rgbColor rgb="FF555555"/>
      <rgbColor rgb="FFAAAAAA"/>
      <rgbColor rgb="FFC0392B"/>
      <rgbColor rgb="FFFFFDE7"/>
      <rgbColor rgb="FFD5F0DE"/>
      <rgbColor rgb="FF444444"/>
      <rgbColor rgb="FFF1948A"/>
      <rgbColor rgb="FF196EBF"/>
      <rgbColor rgb="FFD6DBDF"/>
      <rgbColor rgb="FFFDFEFE"/>
      <rgbColor rgb="FFEAECEE"/>
      <rgbColor rgb="FFFADBD8"/>
      <rgbColor rgb="FFD6E4F0"/>
      <rgbColor rgb="FFF0F0F0"/>
      <rgbColor rgb="FFEEF2F7"/>
      <rgbColor rgb="FF1A5276"/>
      <rgbColor rgb="FFF5F5F5"/>
      <rgbColor rgb="FFCCCCCC"/>
      <rgbColor rgb="FFEAFAF1"/>
      <rgbColor rgb="FFD5F5E3"/>
      <rgbColor rgb="FFFDE8D1"/>
      <rgbColor rgb="FFA9DFBF"/>
      <rgbColor rgb="FFFAD7D5"/>
      <rgbColor rgb="FFAAB7B8"/>
      <rgbColor rgb="FFFAD7A0"/>
      <rgbColor rgb="FF4776C3"/>
      <rgbColor rgb="FF2ECC71"/>
      <rgbColor rgb="FF70AD47"/>
      <rgbColor rgb="FFED7D31"/>
      <rgbColor rgb="FFF39C12"/>
      <rgbColor rgb="FFD4700A"/>
      <rgbColor rgb="FF4A6FA5"/>
      <rgbColor rgb="FF979797"/>
      <rgbColor rgb="FF10174E"/>
      <rgbColor rgb="FF1A9C3E"/>
      <rgbColor rgb="FF2C3E50"/>
      <rgbColor rgb="FF1A252F"/>
      <rgbColor rgb="FF922B21"/>
      <rgbColor rgb="FFCC3300"/>
      <rgbColor rgb="FF2C3E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Team Utilisation % by Resource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'Resource Planner'!$H$14</f>
              <strCache>
                <ptCount val="1"/>
                <pt idx="0">
                  <v>Util %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'Resource Planner'!$A$15:$A$21</f>
              <strCache>
                <ptCount val="7"/>
                <pt idx="0">
                  <v>Priya Sharma</v>
                </pt>
                <pt idx="1">
                  <v>Rahul Mehta</v>
                </pt>
                <pt idx="2">
                  <v>Amit Roy</v>
                </pt>
                <pt idx="3">
                  <v>Sunita Verma</v>
                </pt>
                <pt idx="4">
                  <v>Karan Malhotra</v>
                </pt>
                <pt idx="5">
                  <v>Deepa Krishnan</v>
                </pt>
                <pt idx="6">
                  <v>Neha Joshi</v>
                </pt>
              </strCache>
            </strRef>
          </cat>
          <val>
            <numRef>
              <f>'Resource Planner'!$H$15:$H$21</f>
              <numCache>
                <formatCode>0%</formatCode>
                <ptCount val="7"/>
                <pt idx="0">
                  <v>0.85</v>
                </pt>
                <pt idx="1">
                  <v>0.78</v>
                </pt>
                <pt idx="2">
                  <v>0.9</v>
                </pt>
                <pt idx="3">
                  <v>0.65</v>
                </pt>
                <pt idx="4">
                  <v>0.55</v>
                </pt>
                <pt idx="5">
                  <v>0.7</v>
                </pt>
                <pt idx="6">
                  <v>0.45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0124549"/>
        <axId val="5365901"/>
      </barChart>
      <catAx>
        <axId val="70124549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Team Member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5365901"/>
        <crosses val="autoZero"/>
        <auto val="1"/>
        <lblAlgn val="ctr"/>
        <lblOffset val="100"/>
        <noMultiLvlLbl val="0"/>
      </catAx>
      <valAx>
        <axId val="536590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Utilisation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0124549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 Status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'Task Tracker'!G17</f>
            </strRef>
          </tx>
          <spPr>
            <a:ln>
              <a:prstDash val="solid"/>
            </a:ln>
          </spPr>
          <cat>
            <numRef>
              <f>'Task Tracker'!$F$18:$F$20</f>
            </numRef>
          </cat>
          <val>
            <numRef>
              <f>'Task Tracker'!$G$18:$G$20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Checklist Status Breakdown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437240056531395"/>
          <y val="0.1370292105946723"/>
          <w val="0.6476042297597415"/>
          <h val="0.8188549349879345"/>
        </manualLayout>
      </layout>
      <pieChart>
        <varyColors val="1"/>
        <ser>
          <idx val="0"/>
          <order val="0"/>
          <tx>
            <strRef>
              <f>'Dashboard Checklist'!$B$17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explosion val="15"/>
          <dPt>
            <idx val="0"/>
            <bubble3D val="0"/>
            <explosion val="1"/>
            <spPr>
              <a:solidFill>
                <a:srgbClr val="A9DFBF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bubble3D val="0"/>
            <explosion val="0"/>
            <spPr>
              <a:solidFill>
                <a:srgbClr val="FAD7A0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2"/>
            <bubble3D val="0"/>
            <explosion val="0"/>
            <spPr>
              <a:solidFill>
                <a:srgbClr val="D6DBDF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bestFit"/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Checklist'!$A$18:$A$20</f>
              <strCache>
                <ptCount val="3"/>
                <pt idx="0">
                  <v>Completed</v>
                </pt>
                <pt idx="1">
                  <v>In Progress</v>
                </pt>
                <pt idx="2">
                  <v>Not Started</v>
                </pt>
              </strCache>
            </strRef>
          </cat>
          <val>
            <numRef>
              <f>'Dashboard Checklist'!$B$18:$B$20</f>
              <numCache>
                <formatCode>General</formatCode>
                <ptCount val="3"/>
                <pt idx="0">
                  <v>5</v>
                </pt>
                <pt idx="1">
                  <v>2</v>
                </pt>
                <pt idx="2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'Dashboard Checklist'!$B$17</f>
              <strCache>
                <ptCount val="1"/>
                <pt idx="0">
                  <v>Count</v>
                </pt>
              </strCache>
            </strRef>
          </tx>
          <spPr>
            <a:ln w="317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17"/>
            <spPr>
              <a:solidFill>
                <a:schemeClr val="accent1"/>
              </a:solidFill>
              <a:ln>
                <a:noFill/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Checklist'!$A$18:$A$20</f>
              <strCache>
                <ptCount val="3"/>
                <pt idx="0">
                  <v>Completed</v>
                </pt>
                <pt idx="1">
                  <v>In Progress</v>
                </pt>
                <pt idx="2">
                  <v>Not Started</v>
                </pt>
              </strCache>
            </strRef>
          </cat>
          <val>
            <numRef>
              <f>'Dashboard Checklist'!$B$18:$B$20</f>
              <numCache>
                <formatCode>General</formatCode>
                <ptCount val="3"/>
                <pt idx="0">
                  <v>5</v>
                </pt>
                <pt idx="1">
                  <v>2</v>
                </pt>
                <pt idx="2">
                  <v>3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381534943"/>
        <axId val="1381551743"/>
      </lineChart>
      <catAx>
        <axId val="138153494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81551743"/>
        <crosses val="autoZero"/>
        <auto val="1"/>
        <lblAlgn val="ctr"/>
        <lblOffset val="100"/>
        <noMultiLvlLbl val="0"/>
      </catAx>
      <valAx>
        <axId val="1381551743"/>
        <scaling>
          <orientation val="minMax"/>
        </scaling>
        <delete val="1"/>
        <axPos val="l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crossAx val="1381534943"/>
        <crosses val="autoZero"/>
        <crossBetween val="between"/>
      </valAx>
    </plotArea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742950</colOff>
      <row>21</row>
      <rowOff>76200</rowOff>
    </from>
    <to>
      <col>13</col>
      <colOff>123825</colOff>
      <row>44</row>
      <rowOff>13500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15</row>
      <rowOff>0</rowOff>
    </from>
    <ext cx="3240000" cy="19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2</col>
      <colOff>190500</colOff>
      <row>13</row>
      <rowOff>152399</rowOff>
    </from>
    <to>
      <col>4</col>
      <colOff>19050</colOff>
      <row>31</row>
      <rowOff>123825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</col>
      <colOff>133350</colOff>
      <row>13</row>
      <rowOff>128587</rowOff>
    </from>
    <to>
      <col>10</col>
      <colOff>514350</colOff>
      <row>29</row>
      <rowOff>90487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roject_Management_Complete_v2.xlsx" TargetMode="External" Id="rId1" /><Relationship Type="http://schemas.openxmlformats.org/officeDocument/2006/relationships/hyperlink" Target="Project_Management_Complete_v2.xlsx" TargetMode="External" Id="rId2" /><Relationship Type="http://schemas.openxmlformats.org/officeDocument/2006/relationships/hyperlink" Target="Project_Management_Complete_v2.xlsx" TargetMode="External" Id="rId3" /><Relationship Type="http://schemas.openxmlformats.org/officeDocument/2006/relationships/hyperlink" Target="Project_Management_Complete_v2.xlsx" TargetMode="External" Id="rId4" /><Relationship Type="http://schemas.openxmlformats.org/officeDocument/2006/relationships/hyperlink" Target="Project_Management_Complete_v2.xlsx" TargetMode="External" Id="rId5" /><Relationship Type="http://schemas.openxmlformats.org/officeDocument/2006/relationships/hyperlink" Target="Project_Management_Complete_v2.xlsx" TargetMode="External" Id="rId6" /><Relationship Type="http://schemas.openxmlformats.org/officeDocument/2006/relationships/hyperlink" Target="Project_Management_Complete_v2.xlsx" TargetMode="External" Id="rId7" /><Relationship Type="http://schemas.openxmlformats.org/officeDocument/2006/relationships/hyperlink" Target="Project_Management_Complete_v2.xlsx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zoomScaleNormal="100" workbookViewId="0">
      <pane ySplit="2" topLeftCell="A19" activePane="bottomLeft" state="frozen"/>
      <selection activeCell="D24" sqref="D24"/>
      <selection pane="bottomLeft" activeCell="F33" sqref="F33"/>
    </sheetView>
  </sheetViews>
  <sheetFormatPr baseColWidth="8" defaultColWidth="8.7109375" defaultRowHeight="15"/>
  <cols>
    <col width="18.5703125" customWidth="1" style="203" min="1" max="1"/>
    <col width="38.140625" customWidth="1" style="203" min="2" max="2"/>
    <col width="23.85546875" customWidth="1" style="203" min="3" max="3"/>
    <col width="10" customWidth="1" style="203" min="4" max="4"/>
    <col hidden="1" width="13.140625" customWidth="1" style="203" min="5" max="5"/>
    <col width="29.28515625" customWidth="1" style="203" min="6" max="6"/>
    <col width="16.28515625" customWidth="1" style="203" min="7" max="7"/>
    <col width="4.85546875" customWidth="1" style="203" min="8" max="8"/>
    <col width="0.28515625" customWidth="1" style="203" min="9" max="9"/>
    <col width="10" customWidth="1" style="203" min="10" max="11"/>
    <col width="14" customWidth="1" style="203" min="12" max="12"/>
    <col width="0.140625" customWidth="1" style="203" min="13" max="13"/>
    <col width="29" customWidth="1" style="203" min="14" max="14"/>
    <col width="7.42578125" customWidth="1" style="203" min="15" max="15"/>
    <col hidden="1" width="10" customWidth="1" style="203" min="16" max="16"/>
  </cols>
  <sheetData>
    <row r="1" ht="30" customHeight="1" s="203">
      <c r="A1" s="216" t="inlineStr">
        <is>
          <t>EXCEL DASHBOARD  |  Project Management Gantt Chart &amp; Resource Planner</t>
        </is>
      </c>
    </row>
    <row r="2" ht="18" customHeight="1" s="203">
      <c r="A2" s="188" t="n"/>
    </row>
    <row r="3" ht="3.75" customHeight="1" s="203"/>
    <row r="4" hidden="1" ht="0.75" customHeight="1" s="203">
      <c r="A4" s="186" t="n"/>
      <c r="B4" s="218" t="n"/>
      <c r="C4" s="189" t="n"/>
    </row>
    <row r="5" hidden="1" ht="15" customHeight="1" s="203">
      <c r="A5" s="1" t="n"/>
      <c r="B5" s="190" t="n"/>
      <c r="C5" s="218" t="n"/>
      <c r="D5" s="218" t="n"/>
      <c r="E5" s="218" t="n"/>
      <c r="F5" s="218" t="n"/>
      <c r="G5" s="218" t="n"/>
      <c r="H5" s="218" t="n"/>
    </row>
    <row r="6" hidden="1" ht="15" customHeight="1" s="203">
      <c r="A6" s="1" t="n"/>
      <c r="B6" s="190" t="n"/>
      <c r="C6" s="218" t="n"/>
      <c r="D6" s="218" t="n"/>
      <c r="E6" s="218" t="n"/>
      <c r="F6" s="218" t="n"/>
      <c r="G6" s="218" t="n"/>
      <c r="H6" s="218" t="n"/>
    </row>
    <row r="7" hidden="1" ht="15" customHeight="1" s="203">
      <c r="A7" s="1" t="n"/>
      <c r="B7" s="190" t="n"/>
      <c r="C7" s="218" t="n"/>
      <c r="D7" s="218" t="n"/>
      <c r="E7" s="218" t="n"/>
      <c r="F7" s="218" t="n"/>
      <c r="G7" s="218" t="n"/>
      <c r="H7" s="218" t="n"/>
    </row>
    <row r="8" hidden="1" ht="15" customHeight="1" s="203">
      <c r="A8" s="1" t="n"/>
      <c r="B8" s="190" t="n"/>
      <c r="C8" s="218" t="n"/>
      <c r="D8" s="218" t="n"/>
      <c r="E8" s="218" t="n"/>
      <c r="F8" s="218" t="n"/>
      <c r="G8" s="218" t="n"/>
      <c r="H8" s="218" t="n"/>
    </row>
    <row r="9" hidden="1" ht="15" customHeight="1" s="203">
      <c r="A9" s="1" t="n"/>
      <c r="B9" s="190" t="n"/>
      <c r="C9" s="218" t="n"/>
      <c r="D9" s="218" t="n"/>
      <c r="E9" s="218" t="n"/>
      <c r="F9" s="218" t="n"/>
      <c r="G9" s="218" t="n"/>
      <c r="H9" s="218" t="n"/>
    </row>
    <row r="10" hidden="1" ht="15" customHeight="1" s="203">
      <c r="A10" s="1" t="n"/>
      <c r="B10" s="190" t="n"/>
      <c r="C10" s="218" t="n"/>
      <c r="D10" s="218" t="n"/>
      <c r="E10" s="218" t="n"/>
      <c r="F10" s="218" t="n"/>
      <c r="G10" s="218" t="n"/>
      <c r="H10" s="218" t="n"/>
    </row>
    <row r="11" hidden="1" ht="15" customHeight="1" s="203">
      <c r="A11" s="1" t="n"/>
      <c r="B11" s="190" t="n"/>
      <c r="C11" s="218" t="n"/>
      <c r="D11" s="218" t="n"/>
      <c r="E11" s="218" t="n"/>
      <c r="F11" s="218" t="n"/>
      <c r="G11" s="218" t="n"/>
      <c r="H11" s="218" t="n"/>
    </row>
    <row r="12" hidden="1" ht="15" customHeight="1" s="203">
      <c r="A12" s="1" t="n"/>
      <c r="B12" s="190" t="n"/>
      <c r="C12" s="218" t="n"/>
      <c r="D12" s="218" t="n"/>
      <c r="E12" s="218" t="n"/>
      <c r="F12" s="218" t="n"/>
      <c r="G12" s="218" t="n"/>
      <c r="H12" s="218" t="n"/>
    </row>
    <row r="13" hidden="1" ht="15" customHeight="1" s="203">
      <c r="A13" s="1" t="n"/>
      <c r="B13" s="190" t="n"/>
      <c r="C13" s="218" t="n"/>
      <c r="D13" s="218" t="n"/>
      <c r="E13" s="218" t="n"/>
      <c r="F13" s="218" t="n"/>
      <c r="G13" s="218" t="n"/>
      <c r="H13" s="218" t="n"/>
    </row>
    <row r="14" hidden="1" ht="15" customHeight="1" s="203">
      <c r="A14" s="1" t="n"/>
      <c r="B14" s="190" t="n"/>
      <c r="C14" s="218" t="n"/>
      <c r="D14" s="218" t="n"/>
      <c r="E14" s="218" t="n"/>
      <c r="F14" s="218" t="n"/>
      <c r="G14" s="218" t="n"/>
      <c r="H14" s="218" t="n"/>
    </row>
    <row r="15" hidden="1" ht="7.5" customHeight="1" s="203"/>
    <row r="16" ht="15" customHeight="1" s="203">
      <c r="A16" s="186" t="inlineStr">
        <is>
          <t>KEY PROJECT METRICS</t>
        </is>
      </c>
      <c r="B16" s="218" t="n"/>
      <c r="C16" s="218" t="n"/>
      <c r="D16" s="218" t="n"/>
      <c r="E16" s="218" t="n"/>
      <c r="F16" s="218" t="n"/>
      <c r="G16" s="218" t="n"/>
      <c r="H16" s="218" t="n"/>
    </row>
    <row r="17" ht="15" customHeight="1" s="203">
      <c r="A17" s="2" t="inlineStr">
        <is>
          <t>Total Techniques</t>
        </is>
      </c>
      <c r="B17" s="2" t="inlineStr">
        <is>
          <t>Completed</t>
        </is>
      </c>
      <c r="C17" s="2" t="inlineStr">
        <is>
          <t>In Progress</t>
        </is>
      </c>
      <c r="D17" s="2" t="inlineStr">
        <is>
          <t>Not Started</t>
        </is>
      </c>
      <c r="E17" s="2" t="inlineStr">
        <is>
          <t>Overall Progress</t>
        </is>
      </c>
    </row>
    <row r="18" ht="15" customHeight="1" s="203">
      <c r="A18" s="3">
        <f>COUNTA('Cleaned Data'!$A$4:$A$500)</f>
        <v/>
      </c>
      <c r="B18" s="3">
        <f>COUNTIF('Cleaned Data'!$I$4:$I$500,"Completed")</f>
        <v/>
      </c>
      <c r="C18" s="3">
        <f>COUNTIF('Cleaned Data'!$I$4:$I$500,"In Progress")</f>
        <v/>
      </c>
      <c r="D18" s="3">
        <f>COUNTIF('Cleaned Data'!$I$4:$I$500,"Not Started")</f>
        <v/>
      </c>
      <c r="E18" s="224">
        <f>IF(A18=0,0,B18/A18)</f>
        <v/>
      </c>
    </row>
    <row r="19" ht="7.5" customHeight="1" s="203"/>
    <row r="20">
      <c r="A20" s="186" t="inlineStr">
        <is>
          <t>QUICK NAVIGATION — CLICK TO JUMP TO ANY SHEET</t>
        </is>
      </c>
      <c r="B20" s="218" t="n"/>
      <c r="C20" s="218" t="n"/>
      <c r="D20" s="218" t="n"/>
      <c r="E20" s="218" t="n"/>
      <c r="F20" s="218" t="n"/>
      <c r="G20" s="218" t="n"/>
      <c r="H20" s="218" t="n"/>
      <c r="I20" s="218" t="n"/>
      <c r="J20" s="218" t="n"/>
      <c r="K20" s="218" t="n"/>
      <c r="L20" s="218" t="n"/>
      <c r="M20" s="218" t="n"/>
      <c r="N20" s="218" t="n"/>
      <c r="O20" s="218" t="n"/>
      <c r="P20" s="218" t="n"/>
    </row>
    <row r="21" ht="15" customHeight="1" s="203">
      <c r="A21" s="4" t="inlineStr">
        <is>
          <t>Sheet Name</t>
        </is>
      </c>
      <c r="B21" s="4" t="inlineStr">
        <is>
          <t>Type</t>
        </is>
      </c>
      <c r="C21" s="4" t="inlineStr">
        <is>
          <t>Description</t>
        </is>
      </c>
      <c r="D21" s="4" t="n"/>
      <c r="F21" s="4" t="n"/>
      <c r="G21" s="4" t="n"/>
      <c r="H21" s="4" t="n"/>
      <c r="I21" s="4" t="n"/>
      <c r="J21" s="4" t="n"/>
      <c r="K21" s="4" t="n"/>
      <c r="L21" s="4" t="n"/>
      <c r="N21" s="4" t="inlineStr">
        <is>
          <t>Click to Open</t>
        </is>
      </c>
    </row>
    <row r="22" ht="15" customHeight="1" s="203">
      <c r="A22" s="5" t="inlineStr">
        <is>
          <t>Raw Data (153 rows)</t>
        </is>
      </c>
      <c r="B22" s="6" t="inlineStr">
        <is>
          <t>DATA</t>
        </is>
      </c>
      <c r="C22" s="219" t="inlineStr">
        <is>
          <t>⚠  150 uncleaned records — messy names, dates, revenue &amp; formats</t>
        </is>
      </c>
      <c r="D22" s="218" t="n"/>
      <c r="E22" s="218" t="n"/>
      <c r="F22" s="218" t="n"/>
      <c r="G22" s="218" t="n"/>
      <c r="H22" s="218" t="n"/>
      <c r="I22" s="218" t="n"/>
      <c r="J22" s="218" t="n"/>
      <c r="K22" s="218" t="n"/>
      <c r="L22" s="218" t="n"/>
      <c r="M22" s="220" t="n"/>
      <c r="N22" s="179" t="inlineStr">
        <is>
          <t>→ Open Raw Data (153 rows)</t>
        </is>
      </c>
    </row>
    <row r="23" ht="15" customHeight="1" s="203">
      <c r="A23" s="5" t="inlineStr">
        <is>
          <t>Cleaned Data (153 rows)</t>
        </is>
      </c>
      <c r="B23" s="6" t="inlineStr">
        <is>
          <t>DATA</t>
        </is>
      </c>
      <c r="C23" s="191" t="inlineStr">
        <is>
          <t>✔  150 standardised &amp; validated records with cleaning flags</t>
        </is>
      </c>
      <c r="D23" s="218" t="n"/>
      <c r="E23" s="218" t="n"/>
      <c r="F23" s="218" t="n"/>
      <c r="G23" s="218" t="n"/>
      <c r="H23" s="218" t="n"/>
      <c r="I23" s="218" t="n"/>
      <c r="J23" s="218" t="n"/>
      <c r="K23" s="218" t="n"/>
      <c r="L23" s="218" t="n"/>
      <c r="M23" s="218" t="n"/>
      <c r="N23" s="179" t="inlineStr">
        <is>
          <t>→ Open Cleaned Data (153 rows)</t>
        </is>
      </c>
    </row>
    <row r="24" ht="15" customHeight="1" s="203">
      <c r="A24" s="7" t="inlineStr">
        <is>
          <t>Gantt Chart</t>
        </is>
      </c>
      <c r="B24" s="8" t="inlineStr">
        <is>
          <t>PLAN</t>
        </is>
      </c>
      <c r="C24" s="192" t="inlineStr">
        <is>
          <t>📅  Full 26-week Gantt across 4 phases with colour-coded bars</t>
        </is>
      </c>
      <c r="D24" s="218" t="n"/>
      <c r="E24" s="218" t="n"/>
      <c r="F24" s="218" t="n"/>
      <c r="G24" s="218" t="n"/>
      <c r="H24" s="218" t="n"/>
      <c r="I24" s="218" t="n"/>
      <c r="J24" s="218" t="n"/>
      <c r="K24" s="218" t="n"/>
      <c r="L24" s="218" t="n"/>
      <c r="M24" s="218" t="n"/>
      <c r="N24" s="180" t="inlineStr">
        <is>
          <t>→ Open Gantt Chart</t>
        </is>
      </c>
    </row>
    <row r="25" ht="15" customHeight="1" s="203">
      <c r="A25" s="7" t="inlineStr">
        <is>
          <t>Resource Planner</t>
        </is>
      </c>
      <c r="B25" s="8" t="inlineStr">
        <is>
          <t>TEAM</t>
        </is>
      </c>
      <c r="C25" s="192" t="inlineStr">
        <is>
          <t>👥  2-person team: allocation, utilisation &amp; workload by phase</t>
        </is>
      </c>
      <c r="D25" s="218" t="n"/>
      <c r="E25" s="218" t="n"/>
      <c r="F25" s="218" t="n"/>
      <c r="G25" s="218" t="n"/>
      <c r="H25" s="218" t="n"/>
      <c r="I25" s="218" t="n"/>
      <c r="J25" s="218" t="n"/>
      <c r="K25" s="218" t="n"/>
      <c r="L25" s="218" t="n"/>
      <c r="M25" s="218" t="n"/>
      <c r="N25" s="180" t="inlineStr">
        <is>
          <t>→ Open Resource Planner</t>
        </is>
      </c>
    </row>
    <row r="26" ht="15" customHeight="1" s="203">
      <c r="A26" s="9" t="inlineStr">
        <is>
          <t>Task Tracker</t>
        </is>
      </c>
      <c r="B26" s="10" t="inlineStr">
        <is>
          <t>TRACK</t>
        </is>
      </c>
      <c r="C26" s="193" t="inlineStr">
        <is>
          <t>✅  Detailed task log with formulas, dependencies &amp; review dates</t>
        </is>
      </c>
      <c r="D26" s="218" t="n"/>
      <c r="E26" s="218" t="n"/>
      <c r="F26" s="218" t="n"/>
      <c r="G26" s="218" t="n"/>
      <c r="H26" s="218" t="n"/>
      <c r="I26" s="218" t="n"/>
      <c r="J26" s="218" t="n"/>
      <c r="K26" s="218" t="n"/>
      <c r="L26" s="218" t="n"/>
      <c r="M26" s="218" t="n"/>
      <c r="N26" s="181" t="inlineStr">
        <is>
          <t>→ Open Task Tracker</t>
        </is>
      </c>
    </row>
    <row r="27" ht="15" customHeight="1" s="203">
      <c r="A27" s="11" t="inlineStr">
        <is>
          <t>Data Reference</t>
        </is>
      </c>
      <c r="B27" s="12" t="inlineStr">
        <is>
          <t>REF</t>
        </is>
      </c>
      <c r="C27" s="194" t="inlineStr">
        <is>
          <t>📖  Before/after raw→clean examples for all 10 techniques</t>
        </is>
      </c>
      <c r="D27" s="218" t="n"/>
      <c r="E27" s="218" t="n"/>
      <c r="F27" s="218" t="n"/>
      <c r="G27" s="218" t="n"/>
      <c r="H27" s="218" t="n"/>
      <c r="I27" s="218" t="n"/>
      <c r="J27" s="218" t="n"/>
      <c r="K27" s="218" t="n"/>
      <c r="L27" s="218" t="n"/>
      <c r="M27" s="218" t="n"/>
      <c r="N27" s="182" t="inlineStr">
        <is>
          <t>→ Open Data Reference</t>
        </is>
      </c>
    </row>
    <row r="28" ht="15" customHeight="1" s="203">
      <c r="A28" s="11" t="inlineStr">
        <is>
          <t>Formula Cheat Sheet</t>
        </is>
      </c>
      <c r="B28" s="12" t="inlineStr">
        <is>
          <t>REF</t>
        </is>
      </c>
      <c r="C28" s="194" t="inlineStr">
        <is>
          <t>🔢  20 key cleaning formulas with syntax, notes &amp; technique map</t>
        </is>
      </c>
      <c r="D28" s="218" t="n"/>
      <c r="E28" s="218" t="n"/>
      <c r="F28" s="218" t="n"/>
      <c r="G28" s="218" t="n"/>
      <c r="H28" s="218" t="n"/>
      <c r="I28" s="218" t="n"/>
      <c r="J28" s="218" t="n"/>
      <c r="K28" s="218" t="n"/>
      <c r="L28" s="218" t="n"/>
      <c r="M28" s="218" t="n"/>
      <c r="N28" s="182" t="inlineStr">
        <is>
          <t>→ Open Formula Cheat Sheet</t>
        </is>
      </c>
    </row>
    <row r="29" ht="15" customHeight="1" s="203">
      <c r="A29" s="13" t="inlineStr">
        <is>
          <t>Dashboard Checklist</t>
        </is>
      </c>
      <c r="B29" s="14" t="inlineStr">
        <is>
          <t>QA</t>
        </is>
      </c>
      <c r="C29" s="195" t="inlineStr">
        <is>
          <t>📋  10-point pre-deployment quality gate with status tracking</t>
        </is>
      </c>
      <c r="D29" s="218" t="n"/>
      <c r="E29" s="218" t="n"/>
      <c r="F29" s="218" t="n"/>
      <c r="G29" s="218" t="n"/>
      <c r="H29" s="218" t="n"/>
      <c r="I29" s="218" t="n"/>
      <c r="J29" s="218" t="n"/>
      <c r="K29" s="218" t="n"/>
      <c r="L29" s="218" t="n"/>
      <c r="M29" s="218" t="n"/>
      <c r="N29" s="183" t="inlineStr">
        <is>
          <t>→ Open Dashboard Checklist</t>
        </is>
      </c>
    </row>
    <row r="30" ht="7.5" customHeight="1" s="203"/>
    <row r="31" ht="15" customHeight="1" s="203">
      <c r="A31" s="186" t="inlineStr">
        <is>
          <t>10 DATA CLEANING TECHNIQUES — OVERVIEW</t>
        </is>
      </c>
      <c r="B31" s="218" t="n"/>
      <c r="C31" s="218" t="n"/>
      <c r="D31" s="218" t="n"/>
      <c r="E31" s="218" t="n"/>
      <c r="F31" s="218" t="n"/>
      <c r="G31" s="218" t="n"/>
      <c r="H31" s="218" t="n"/>
      <c r="I31" s="218" t="n"/>
      <c r="J31" s="218" t="n"/>
      <c r="K31" s="218" t="n"/>
      <c r="L31" s="218" t="n"/>
      <c r="M31" s="218" t="n"/>
      <c r="N31" s="218" t="n"/>
      <c r="O31" s="218" t="n"/>
      <c r="P31" s="218" t="n"/>
    </row>
    <row r="32" ht="15" customHeight="1" s="203">
      <c r="A32" s="4" t="inlineStr">
        <is>
          <t>No.</t>
        </is>
      </c>
      <c r="B32" s="4" t="inlineStr">
        <is>
          <t>Technique</t>
        </is>
      </c>
      <c r="C32" s="4" t="inlineStr">
        <is>
          <t>Problem Solved</t>
        </is>
      </c>
      <c r="F32" s="15" t="inlineStr">
        <is>
          <t>▶ Live Formula (click me!)</t>
        </is>
      </c>
      <c r="G32" s="16" t="inlineStr">
        <is>
          <t>Sample Input</t>
        </is>
      </c>
      <c r="J32" s="4" t="inlineStr">
        <is>
          <t>Phase</t>
        </is>
      </c>
      <c r="K32" s="4" t="inlineStr">
        <is>
          <t>Priority</t>
        </is>
      </c>
      <c r="L32" s="4" t="inlineStr">
        <is>
          <t>Status</t>
        </is>
      </c>
    </row>
    <row r="33" ht="15" customHeight="1" s="203">
      <c r="A33" s="17" t="n">
        <v>1</v>
      </c>
      <c r="B33" s="18" t="inlineStr">
        <is>
          <t>Remove Duplicates — CRM Export Cleaning</t>
        </is>
      </c>
      <c r="C33" s="19" t="inlineStr">
        <is>
          <t>CRM Export Cleaning</t>
        </is>
      </c>
      <c r="F33" s="20">
        <f>COUNTIF($G$33:G33,G33)&gt;1</f>
        <v/>
      </c>
      <c r="G33" s="21" t="inlineStr">
        <is>
          <t>ORD-1001</t>
        </is>
      </c>
      <c r="J33" s="19" t="inlineStr">
        <is>
          <t>Phase 1</t>
        </is>
      </c>
      <c r="K33" s="19" t="inlineStr">
        <is>
          <t>Critical</t>
        </is>
      </c>
      <c r="L33" s="19" t="inlineStr">
        <is>
          <t>Completed</t>
        </is>
      </c>
    </row>
    <row r="34" ht="15" customHeight="1" s="203">
      <c r="A34" s="17" t="n">
        <v>2</v>
      </c>
      <c r="B34" s="18" t="inlineStr">
        <is>
          <t>Trim Extra Spaces — Customer Name Import</t>
        </is>
      </c>
      <c r="C34" s="19" t="inlineStr">
        <is>
          <t>Customer Name Import</t>
        </is>
      </c>
      <c r="F34" s="20">
        <f>TRIM(CLEAN(G34))</f>
        <v/>
      </c>
      <c r="G34" s="21" t="inlineStr">
        <is>
          <t xml:space="preserve">  Priya  Sharma  </t>
        </is>
      </c>
      <c r="J34" s="19" t="inlineStr">
        <is>
          <t>Phase 1</t>
        </is>
      </c>
      <c r="K34" s="19" t="inlineStr">
        <is>
          <t>Critical</t>
        </is>
      </c>
      <c r="L34" s="19" t="inlineStr">
        <is>
          <t>Completed</t>
        </is>
      </c>
    </row>
    <row r="35" ht="15" customHeight="1" s="203">
      <c r="A35" s="17" t="n">
        <v>3</v>
      </c>
      <c r="B35" s="18" t="inlineStr">
        <is>
          <t>Standardize Text Case — Region Codes</t>
        </is>
      </c>
      <c r="C35" s="19" t="inlineStr">
        <is>
          <t>Region Codes</t>
        </is>
      </c>
      <c r="F35" s="20">
        <f>PROPER(G35)</f>
        <v/>
      </c>
      <c r="G35" s="21" t="inlineStr">
        <is>
          <t>north west</t>
        </is>
      </c>
      <c r="J35" s="19" t="inlineStr">
        <is>
          <t>Phase 1</t>
        </is>
      </c>
      <c r="K35" s="19" t="inlineStr">
        <is>
          <t>High</t>
        </is>
      </c>
      <c r="L35" s="19" t="inlineStr">
        <is>
          <t>Completed</t>
        </is>
      </c>
    </row>
    <row r="36" ht="15" customHeight="1" s="203">
      <c r="A36" s="22" t="n">
        <v>4</v>
      </c>
      <c r="B36" s="23" t="inlineStr">
        <is>
          <t>Fix Date Formats — Legacy System Dates</t>
        </is>
      </c>
      <c r="C36" s="24" t="inlineStr">
        <is>
          <t>Legacy System Dates</t>
        </is>
      </c>
      <c r="F36" s="20">
        <f>DATEVALUE(G36)</f>
        <v/>
      </c>
      <c r="G36" s="21" t="inlineStr">
        <is>
          <t>2024-01-29</t>
        </is>
      </c>
      <c r="J36" s="24" t="inlineStr">
        <is>
          <t>Phase 2</t>
        </is>
      </c>
      <c r="K36" s="24" t="inlineStr">
        <is>
          <t>Critical</t>
        </is>
      </c>
      <c r="L36" s="24" t="inlineStr">
        <is>
          <t>Completed</t>
        </is>
      </c>
    </row>
    <row r="37" ht="15" customHeight="1" s="203">
      <c r="A37" s="22" t="n">
        <v>5</v>
      </c>
      <c r="B37" s="23" t="inlineStr">
        <is>
          <t>Handle Missing Values — Customer Database</t>
        </is>
      </c>
      <c r="C37" s="24" t="inlineStr">
        <is>
          <t>Customer Database</t>
        </is>
      </c>
      <c r="F37" s="20">
        <f>IF(G37="","Unknown",G37)</f>
        <v/>
      </c>
      <c r="G37" s="21" t="n"/>
      <c r="J37" s="24" t="inlineStr">
        <is>
          <t>Phase 2</t>
        </is>
      </c>
      <c r="K37" s="24" t="inlineStr">
        <is>
          <t>High</t>
        </is>
      </c>
      <c r="L37" s="24" t="inlineStr">
        <is>
          <t>Completed</t>
        </is>
      </c>
    </row>
    <row r="38" ht="15" customHeight="1" s="203">
      <c r="A38" s="25" t="n">
        <v>6</v>
      </c>
      <c r="B38" s="26" t="inlineStr">
        <is>
          <t>Split Combined Columns — Contact Database</t>
        </is>
      </c>
      <c r="C38" s="27" t="inlineStr">
        <is>
          <t>Contact Database</t>
        </is>
      </c>
      <c r="F38" s="20">
        <f>LEFT(G38,FIND(" ",G38)-1)</f>
        <v/>
      </c>
      <c r="G38" s="21" t="inlineStr">
        <is>
          <t>Karan Malhotra</t>
        </is>
      </c>
      <c r="J38" s="27" t="inlineStr">
        <is>
          <t>Phase 2</t>
        </is>
      </c>
      <c r="K38" s="27" t="inlineStr">
        <is>
          <t>Medium</t>
        </is>
      </c>
      <c r="L38" s="27" t="inlineStr">
        <is>
          <t>In Progress</t>
        </is>
      </c>
    </row>
    <row r="39" ht="15" customHeight="1" s="203">
      <c r="A39" s="28" t="n">
        <v>7</v>
      </c>
      <c r="B39" s="29" t="inlineStr">
        <is>
          <t>Remove Non-Numeric Chars — Revenue Data</t>
        </is>
      </c>
      <c r="C39" s="30" t="inlineStr">
        <is>
          <t>Revenue Data</t>
        </is>
      </c>
      <c r="F39" s="31">
        <f>VALUE(SUBSTITUTE(SUBSTITUTE(G39,"Rs. ",""),",",""))</f>
        <v/>
      </c>
      <c r="G39" s="21" t="inlineStr">
        <is>
          <t>Rs. 1,50,000</t>
        </is>
      </c>
      <c r="J39" s="30" t="inlineStr">
        <is>
          <t>Phase 3</t>
        </is>
      </c>
      <c r="K39" s="30" t="inlineStr">
        <is>
          <t>Critical</t>
        </is>
      </c>
      <c r="L39" s="30" t="inlineStr">
        <is>
          <t>In Progress</t>
        </is>
      </c>
    </row>
    <row r="40" ht="15" customHeight="1" s="203">
      <c r="A40" s="32" t="n">
        <v>8</v>
      </c>
      <c r="B40" s="33" t="inlineStr">
        <is>
          <t>Validate Data Ranges — HR Age Dataset</t>
        </is>
      </c>
      <c r="C40" s="34" t="inlineStr">
        <is>
          <t>HR Age Dataset</t>
        </is>
      </c>
      <c r="F40" s="20">
        <f>IF(AND(G40&gt;=18,G40&lt;=65),"Valid","Invalid")</f>
        <v/>
      </c>
      <c r="G40" s="21" t="n">
        <v>45</v>
      </c>
      <c r="J40" s="34" t="inlineStr">
        <is>
          <t>Phase 3</t>
        </is>
      </c>
      <c r="K40" s="34" t="inlineStr">
        <is>
          <t>High</t>
        </is>
      </c>
      <c r="L40" s="34" t="inlineStr">
        <is>
          <t>Not Started</t>
        </is>
      </c>
    </row>
    <row r="41" ht="15" customHeight="1" s="203">
      <c r="A41" s="32" t="n">
        <v>9</v>
      </c>
      <c r="B41" s="33" t="inlineStr">
        <is>
          <t>Standardize Category Labels — Product SKU</t>
        </is>
      </c>
      <c r="C41" s="34" t="inlineStr">
        <is>
          <t>Product SKU</t>
        </is>
      </c>
      <c r="F41" s="20">
        <f>PROPER(G41)</f>
        <v/>
      </c>
      <c r="G41" s="21" t="inlineStr">
        <is>
          <t>electronics</t>
        </is>
      </c>
      <c r="J41" s="34" t="inlineStr">
        <is>
          <t>Phase 3</t>
        </is>
      </c>
      <c r="K41" s="34" t="inlineStr">
        <is>
          <t>High</t>
        </is>
      </c>
      <c r="L41" s="34" t="inlineStr">
        <is>
          <t>Not Started</t>
        </is>
      </c>
    </row>
    <row r="42" ht="15" customHeight="1" s="203">
      <c r="A42" s="35" t="n">
        <v>10</v>
      </c>
      <c r="B42" s="36" t="inlineStr">
        <is>
          <t>Combine &amp; Reconcile Columns — Address</t>
        </is>
      </c>
      <c r="C42" s="37" t="inlineStr">
        <is>
          <t>Address</t>
        </is>
      </c>
      <c r="F42" s="20">
        <f>G42&amp;", Mumbai, 400001"</f>
        <v/>
      </c>
      <c r="G42" s="21" t="inlineStr">
        <is>
          <t>123 Main St</t>
        </is>
      </c>
      <c r="J42" s="37" t="inlineStr">
        <is>
          <t>Phase 4</t>
        </is>
      </c>
      <c r="K42" s="37" t="inlineStr">
        <is>
          <t>Medium</t>
        </is>
      </c>
      <c r="L42" s="37" t="inlineStr">
        <is>
          <t>Not Started</t>
        </is>
      </c>
    </row>
  </sheetData>
  <mergeCells count="25">
    <mergeCell ref="B9:H9"/>
    <mergeCell ref="B6:H6"/>
    <mergeCell ref="C24:M24"/>
    <mergeCell ref="A20:P20"/>
    <mergeCell ref="B5:H5"/>
    <mergeCell ref="C26:M26"/>
    <mergeCell ref="C29:M29"/>
    <mergeCell ref="A16:H16"/>
    <mergeCell ref="A31:P31"/>
    <mergeCell ref="C25:M25"/>
    <mergeCell ref="B7:H7"/>
    <mergeCell ref="C22:M22"/>
    <mergeCell ref="A1:P1"/>
    <mergeCell ref="B12:H12"/>
    <mergeCell ref="C27:M27"/>
    <mergeCell ref="B11:H11"/>
    <mergeCell ref="C23:M23"/>
    <mergeCell ref="A4:B4"/>
    <mergeCell ref="B14:H14"/>
    <mergeCell ref="B8:H8"/>
    <mergeCell ref="B13:H13"/>
    <mergeCell ref="C4:H4"/>
    <mergeCell ref="B10:H10"/>
    <mergeCell ref="C28:M28"/>
    <mergeCell ref="A2:P2"/>
  </mergeCells>
  <hyperlinks>
    <hyperlink xmlns:r="http://schemas.openxmlformats.org/officeDocument/2006/relationships" ref="A22" location="Raw%20Data!A1" display="Raw Data (150 rows)" r:id="rId1"/>
    <hyperlink ref="N22" location="'Raw Data'!A1" display="→ Open Raw Data (150 rows)"/>
    <hyperlink xmlns:r="http://schemas.openxmlformats.org/officeDocument/2006/relationships" ref="A23" location="Cleaned%20Data!A1" display="Cleaned Data (150 rows)" r:id="rId2"/>
    <hyperlink ref="N23" location="'Cleaned Data'!A1" display="→ Open Cleaned Data (150 rows)"/>
    <hyperlink xmlns:r="http://schemas.openxmlformats.org/officeDocument/2006/relationships" ref="A24" location="Gantt%20Chart!A1" r:id="rId3"/>
    <hyperlink ref="N24" location="'Gantt Chart'!A1" display="→ Open Gantt Chart"/>
    <hyperlink xmlns:r="http://schemas.openxmlformats.org/officeDocument/2006/relationships" ref="A25" location="Resource%20Planner!A1" r:id="rId4"/>
    <hyperlink ref="N25" location="'Resource Planner'!A1" display="→ Open Resource Planner"/>
    <hyperlink xmlns:r="http://schemas.openxmlformats.org/officeDocument/2006/relationships" ref="A26" location="Task%20Tracker!A1" r:id="rId5"/>
    <hyperlink ref="N26" location="'Task Tracker'!A1" display="→ Open Task Tracker"/>
    <hyperlink xmlns:r="http://schemas.openxmlformats.org/officeDocument/2006/relationships" ref="A27" location="Data%20Reference!A1" r:id="rId6"/>
    <hyperlink ref="N27" location="'Data Reference'!A1" display="→ Open Data Reference"/>
    <hyperlink xmlns:r="http://schemas.openxmlformats.org/officeDocument/2006/relationships" ref="A28" location="Formula%20Cheat%20Sheet!A1" r:id="rId7"/>
    <hyperlink ref="N28" location="'Formula Cheat Sheet'!A1" display="→ Open Formula Cheat Sheet"/>
    <hyperlink xmlns:r="http://schemas.openxmlformats.org/officeDocument/2006/relationships" ref="A29" location="Dashboard%20Checklist!A1" r:id="rId8"/>
    <hyperlink ref="N29" location="'Dashboard Checklist'!A1" display="→ Open Dashboard Checklist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"/>
  <sheetViews>
    <sheetView showGridLines="0" zoomScaleNormal="100" workbookViewId="0">
      <pane ySplit="3" topLeftCell="A131" activePane="bottomLeft" state="frozen"/>
      <selection activeCell="A1" sqref="A1:P1"/>
      <selection pane="bottomLeft" activeCell="Q12" sqref="Q12"/>
    </sheetView>
  </sheetViews>
  <sheetFormatPr baseColWidth="8" defaultColWidth="8.7109375" defaultRowHeight="15"/>
  <cols>
    <col width="7.140625" customWidth="1" style="203" min="1" max="1"/>
    <col width="38" customWidth="1" style="203" min="2" max="2"/>
    <col width="10" customWidth="1" style="203" min="3" max="3"/>
    <col width="20" customWidth="1" style="203" min="4" max="4"/>
    <col width="16" customWidth="1" style="203" min="5" max="5"/>
    <col width="14" customWidth="1" style="203" min="6" max="6"/>
    <col width="12.7109375" customWidth="1" style="203" min="7" max="7"/>
    <col width="18" customWidth="1" style="203" min="8" max="8"/>
    <col width="14" customWidth="1" style="203" min="9" max="9"/>
    <col width="14.7109375" customWidth="1" style="203" min="10" max="10"/>
    <col width="12" customWidth="1" style="203" min="11" max="11"/>
    <col width="16.42578125" customWidth="1" style="203" min="12" max="12"/>
    <col width="10.42578125" customWidth="1" style="203" min="13" max="13"/>
    <col width="16.7109375" customWidth="1" style="203" min="14" max="14"/>
    <col width="18" customWidth="1" style="203" min="15" max="15"/>
  </cols>
  <sheetData>
    <row r="1" ht="25.5" customHeight="1" s="203">
      <c r="A1" s="196" t="inlineStr">
        <is>
          <t>⚠  RAW DATA — 153 Records (Uncleaned with Null/Wrong Values)  |  Project Management Dashboard</t>
        </is>
      </c>
    </row>
    <row r="2" ht="15" customHeight="1" s="203">
      <c r="O2" s="214" t="inlineStr">
        <is>
          <t>← Back to Project Overview</t>
        </is>
      </c>
    </row>
    <row r="3" ht="31.5" customHeight="1" s="203">
      <c r="A3" s="38" t="inlineStr">
        <is>
          <t>#</t>
        </is>
      </c>
      <c r="B3" s="38" t="inlineStr">
        <is>
          <t>Task / Technique</t>
        </is>
      </c>
      <c r="C3" s="38" t="inlineStr">
        <is>
          <t>Phase</t>
        </is>
      </c>
      <c r="D3" s="38" t="inlineStr">
        <is>
          <t>Assigned To</t>
        </is>
      </c>
      <c r="E3" s="38" t="inlineStr">
        <is>
          <t>Department</t>
        </is>
      </c>
      <c r="F3" s="38" t="inlineStr">
        <is>
          <t>Start Date</t>
        </is>
      </c>
      <c r="G3" s="38" t="inlineStr">
        <is>
          <t>End Date</t>
        </is>
      </c>
      <c r="H3" s="38" t="inlineStr">
        <is>
          <t>Duration (Days)</t>
        </is>
      </c>
      <c r="I3" s="38" t="inlineStr">
        <is>
          <t>Status</t>
        </is>
      </c>
      <c r="J3" s="38" t="inlineStr">
        <is>
          <t>% Complete</t>
        </is>
      </c>
      <c r="K3" s="38" t="inlineStr">
        <is>
          <t>Priority</t>
        </is>
      </c>
      <c r="L3" s="38" t="inlineStr">
        <is>
          <t>Daily Rate (₹)</t>
        </is>
      </c>
      <c r="M3" s="38" t="inlineStr">
        <is>
          <t>Hours</t>
        </is>
      </c>
      <c r="N3" s="38" t="inlineStr">
        <is>
          <t>Revenue (Raw)</t>
        </is>
      </c>
      <c r="O3" s="38" t="inlineStr">
        <is>
          <t>Notes</t>
        </is>
      </c>
    </row>
    <row r="4" ht="15" customHeight="1" s="203">
      <c r="A4" s="39" t="n">
        <v>1</v>
      </c>
      <c r="B4" s="40" t="inlineStr">
        <is>
          <t>Remove Duplicates — CRM Export Cleaning</t>
        </is>
      </c>
      <c r="C4" s="39" t="inlineStr">
        <is>
          <t>PHASE1</t>
        </is>
      </c>
      <c r="D4" s="39" t="inlineStr">
        <is>
          <t>Sunita Verma</t>
        </is>
      </c>
      <c r="E4" s="39" t="inlineStr">
        <is>
          <t>BI &amp; Analytics</t>
        </is>
      </c>
      <c r="F4" s="39" t="inlineStr">
        <is>
          <t>2024-02-06</t>
        </is>
      </c>
      <c r="G4" s="39" t="n"/>
      <c r="H4" s="39">
        <f>IF(OR(F4="",G4=""),"",G4-F4)</f>
        <v/>
      </c>
      <c r="I4" s="39">
        <f>IFERROR(IF(VALUE(SUBSTITUTE(SUBSTITUTE(J4,"%","")," ",""))&lt;=0,"Not Started",IF(VALUE(SUBSTITUTE(SUBSTITUTE(J4,"%","")," ",""))&gt;=100,"Completed","In Progress")),"Not Started")</f>
        <v/>
      </c>
      <c r="J4" s="39" t="inlineStr">
        <is>
          <t>40</t>
        </is>
      </c>
      <c r="K4" s="39" t="inlineStr">
        <is>
          <t>Low</t>
        </is>
      </c>
      <c r="L4" s="39" t="inlineStr">
        <is>
          <t>3000</t>
        </is>
      </c>
      <c r="M4" s="39">
        <f>IF(H4="","",H4*8)</f>
        <v/>
      </c>
      <c r="N4" s="41">
        <f>IF(OR(L4="",H4=""),"",L4*H4)</f>
        <v/>
      </c>
      <c r="O4" s="39" t="inlineStr">
        <is>
          <t>—</t>
        </is>
      </c>
    </row>
    <row r="5" ht="15" customHeight="1" s="203">
      <c r="A5" s="42" t="n">
        <v>2</v>
      </c>
      <c r="B5" s="43" t="inlineStr">
        <is>
          <t>Trim Extra Spaces — Customer Name Import</t>
        </is>
      </c>
      <c r="C5" s="42" t="inlineStr">
        <is>
          <t>PHASE 2</t>
        </is>
      </c>
      <c r="D5" s="42" t="inlineStr">
        <is>
          <t>deepa krishnan</t>
        </is>
      </c>
      <c r="E5" s="42" t="inlineStr">
        <is>
          <t>business intel.</t>
        </is>
      </c>
      <c r="F5" s="42" t="inlineStr">
        <is>
          <t>2024-05-15</t>
        </is>
      </c>
      <c r="G5" s="42" t="n"/>
      <c r="H5" s="42">
        <f>IF(OR(F5="",G5=""),"",G5-F5)</f>
        <v/>
      </c>
      <c r="I5" s="42">
        <f>IFERROR(IF(VALUE(SUBSTITUTE(SUBSTITUTE(J5,"%","")," ",""))&lt;=0,"Not Started",IF(VALUE(SUBSTITUTE(SUBSTITUTE(J5,"%","")," ",""))&gt;=100,"Completed","In Progress")),"Not Started")</f>
        <v/>
      </c>
      <c r="J5" s="42" t="inlineStr">
        <is>
          <t>100.00%</t>
        </is>
      </c>
      <c r="K5" s="42" t="inlineStr">
        <is>
          <t>LOW</t>
        </is>
      </c>
      <c r="L5" s="42" t="inlineStr">
        <is>
          <t>₹4200</t>
        </is>
      </c>
      <c r="M5" s="42">
        <f>IF(H5="","",H5*8)</f>
        <v/>
      </c>
      <c r="N5" s="44">
        <f>IF(OR(L5="",H5=""),"",L5*H5)</f>
        <v/>
      </c>
      <c r="O5" s="42" t="inlineStr">
        <is>
          <t>—</t>
        </is>
      </c>
    </row>
    <row r="6" ht="15" customHeight="1" s="203">
      <c r="A6" s="39" t="n">
        <v>3</v>
      </c>
      <c r="B6" s="40" t="inlineStr">
        <is>
          <t>Standardize Text Case — Region Codes</t>
        </is>
      </c>
      <c r="C6" s="39" t="inlineStr">
        <is>
          <t>Phase 3</t>
        </is>
      </c>
      <c r="D6" s="39" t="inlineStr">
        <is>
          <t>Amit Roy</t>
        </is>
      </c>
      <c r="E6" s="39" t="inlineStr">
        <is>
          <t>DATA PLATFORM</t>
        </is>
      </c>
      <c r="F6" s="39" t="inlineStr">
        <is>
          <t>01/25/2024</t>
        </is>
      </c>
      <c r="G6" s="39" t="n"/>
      <c r="H6" s="39">
        <f>IF(OR(F6="",G6=""),"",G6-F6)</f>
        <v/>
      </c>
      <c r="I6" s="39">
        <f>IFERROR(IF(VALUE(SUBSTITUTE(SUBSTITUTE(J6,"%","")," ",""))&lt;=0,"Not Started",IF(VALUE(SUBSTITUTE(SUBSTITUTE(J6,"%","")," ",""))&gt;=100,"Completed","In Progress")),"Not Started")</f>
        <v/>
      </c>
      <c r="J6" s="39" t="inlineStr">
        <is>
          <t>25</t>
        </is>
      </c>
      <c r="K6" s="39" t="inlineStr">
        <is>
          <t>high</t>
        </is>
      </c>
      <c r="L6" s="39" t="inlineStr">
        <is>
          <t>₹4200</t>
        </is>
      </c>
      <c r="M6" s="39">
        <f>IF(H6="","",H6*8)</f>
        <v/>
      </c>
      <c r="N6" s="41">
        <f>IF(OR(L6="",H6=""),"",L6*H6)</f>
        <v/>
      </c>
      <c r="O6" s="39" t="inlineStr">
        <is>
          <t>—</t>
        </is>
      </c>
    </row>
    <row r="7" ht="15" customHeight="1" s="203">
      <c r="A7" s="42" t="n">
        <v>4</v>
      </c>
      <c r="B7" s="43" t="inlineStr">
        <is>
          <t>Fix Date Formats — Legacy System Dates</t>
        </is>
      </c>
      <c r="C7" s="42" t="inlineStr">
        <is>
          <t>PHASE4</t>
        </is>
      </c>
      <c r="D7" s="42" t="inlineStr">
        <is>
          <t>neha joshi</t>
        </is>
      </c>
      <c r="E7" s="42" t="inlineStr">
        <is>
          <t>QUALITY ASSUR.</t>
        </is>
      </c>
      <c r="F7" s="42" t="inlineStr">
        <is>
          <t>2024-03-17</t>
        </is>
      </c>
      <c r="G7" s="42" t="n"/>
      <c r="H7" s="42">
        <f>IF(OR(F7="",G7=""),"",G7-F7)</f>
        <v/>
      </c>
      <c r="I7" s="42">
        <f>IFERROR(IF(VALUE(SUBSTITUTE(SUBSTITUTE(J7,"%","")," ",""))&lt;=0,"Not Started",IF(VALUE(SUBSTITUTE(SUBSTITUTE(J7,"%","")," ",""))&gt;=100,"Completed","In Progress")),"Not Started")</f>
        <v/>
      </c>
      <c r="J7" s="42" t="inlineStr">
        <is>
          <t>0</t>
        </is>
      </c>
      <c r="K7" s="42" t="inlineStr">
        <is>
          <t>CRITICAL</t>
        </is>
      </c>
      <c r="L7" s="42" t="inlineStr">
        <is>
          <t xml:space="preserve">  ₹2,000  </t>
        </is>
      </c>
      <c r="M7" s="42">
        <f>IF(H7="","",H7*8)</f>
        <v/>
      </c>
      <c r="N7" s="44">
        <f>IF(OR(L7="",H7=""),"",L7*H7)</f>
        <v/>
      </c>
      <c r="O7" s="42" t="inlineStr">
        <is>
          <t>—</t>
        </is>
      </c>
    </row>
    <row r="8" ht="15" customHeight="1" s="203">
      <c r="A8" s="39" t="n">
        <v>5</v>
      </c>
      <c r="B8" s="40" t="inlineStr">
        <is>
          <t>Handle Missing Values — Customer Database</t>
        </is>
      </c>
      <c r="C8" s="39" t="inlineStr">
        <is>
          <t>PHASE1</t>
        </is>
      </c>
      <c r="D8" s="39" t="inlineStr">
        <is>
          <t>Deepa Krishnan</t>
        </is>
      </c>
      <c r="E8" s="39" t="inlineStr">
        <is>
          <t>PMO</t>
        </is>
      </c>
      <c r="F8" s="39" t="inlineStr">
        <is>
          <t>15-05-2024</t>
        </is>
      </c>
      <c r="G8" s="39" t="n"/>
      <c r="H8" s="39">
        <f>IF(OR(F8="",G8=""),"",G8-F8)</f>
        <v/>
      </c>
      <c r="I8" s="39">
        <f>IFERROR(IF(VALUE(SUBSTITUTE(SUBSTITUTE(J8,"%","")," ",""))&lt;=0,"Not Started",IF(VALUE(SUBSTITUTE(SUBSTITUTE(J8,"%","")," ",""))&gt;=100,"Completed","In Progress")),"Not Started")</f>
        <v/>
      </c>
      <c r="J8" s="39" t="inlineStr">
        <is>
          <t>100 %</t>
        </is>
      </c>
      <c r="K8" s="39" t="inlineStr">
        <is>
          <t>high</t>
        </is>
      </c>
      <c r="L8" s="39" t="inlineStr">
        <is>
          <t>INR 5,500</t>
        </is>
      </c>
      <c r="M8" s="39">
        <f>IF(H8="","",H8*8)</f>
        <v/>
      </c>
      <c r="N8" s="41">
        <f>IF(OR(L8="",H8=""),"",L8*H8)</f>
        <v/>
      </c>
      <c r="O8" s="39" t="inlineStr">
        <is>
          <t>—</t>
        </is>
      </c>
    </row>
    <row r="9" ht="15" customHeight="1" s="203">
      <c r="A9" s="42" t="n">
        <v>6</v>
      </c>
      <c r="B9" s="43" t="inlineStr">
        <is>
          <t>Split Combined Columns — Contact Database</t>
        </is>
      </c>
      <c r="C9" s="42" t="inlineStr">
        <is>
          <t>phase 2</t>
        </is>
      </c>
      <c r="D9" s="42" t="inlineStr">
        <is>
          <t>DEEPA KRISHNAN</t>
        </is>
      </c>
      <c r="E9" s="42" t="inlineStr">
        <is>
          <t>BI &amp; ANALYTICS</t>
        </is>
      </c>
      <c r="F9" s="42" t="inlineStr">
        <is>
          <t>2024-02-08</t>
        </is>
      </c>
      <c r="G9" s="42" t="n"/>
      <c r="H9" s="42">
        <f>IF(OR(F9="",G9=""),"",G9-F9)</f>
        <v/>
      </c>
      <c r="I9" s="42">
        <f>IFERROR(IF(VALUE(SUBSTITUTE(SUBSTITUTE(J9,"%","")," ",""))&lt;=0,"Not Started",IF(VALUE(SUBSTITUTE(SUBSTITUTE(J9,"%","")," ",""))&gt;=100,"Completed","In Progress")),"Not Started")</f>
        <v/>
      </c>
      <c r="J9" s="42" t="inlineStr">
        <is>
          <t>25.00%</t>
        </is>
      </c>
      <c r="K9" s="42" t="inlineStr">
        <is>
          <t>CRITICAL</t>
        </is>
      </c>
      <c r="L9" s="42" t="inlineStr">
        <is>
          <t>Rs. 3,500</t>
        </is>
      </c>
      <c r="M9" s="42">
        <f>IF(H9="","",H9*8)</f>
        <v/>
      </c>
      <c r="N9" s="44">
        <f>IF(OR(L9="",H9=""),"",L9*H9)</f>
        <v/>
      </c>
      <c r="O9" s="42" t="inlineStr">
        <is>
          <t>Extra spaces detected</t>
        </is>
      </c>
    </row>
    <row r="10" ht="15" customHeight="1" s="203">
      <c r="A10" s="39" t="n">
        <v>7</v>
      </c>
      <c r="B10" s="40" t="inlineStr">
        <is>
          <t>Trim Extra Spaces — Customer Name Import</t>
        </is>
      </c>
      <c r="C10" s="39" t="inlineStr">
        <is>
          <t>PHASE 2</t>
        </is>
      </c>
      <c r="D10" s="39" t="n"/>
      <c r="E10" s="39" t="inlineStr">
        <is>
          <t>business intel.</t>
        </is>
      </c>
      <c r="F10" s="39" t="inlineStr">
        <is>
          <t>2024-05-15</t>
        </is>
      </c>
      <c r="G10" s="39" t="n"/>
      <c r="H10" s="39">
        <f>IF(OR(F10="",G10=""),"",G10-F10)</f>
        <v/>
      </c>
      <c r="I10" s="39">
        <f>IFERROR(IF(VALUE(SUBSTITUTE(SUBSTITUTE(J10,"%","")," ",""))&lt;=0,"Not Started",IF(VALUE(SUBSTITUTE(SUBSTITUTE(J10,"%","")," ",""))&gt;=100,"Completed","In Progress")),"Not Started")</f>
        <v/>
      </c>
      <c r="J10" s="39" t="inlineStr">
        <is>
          <t>100.00%</t>
        </is>
      </c>
      <c r="K10" s="39" t="inlineStr">
        <is>
          <t>LOW</t>
        </is>
      </c>
      <c r="L10" s="39" t="inlineStr">
        <is>
          <t>₹4200</t>
        </is>
      </c>
      <c r="M10" s="39">
        <f>IF(H10="","",H10*8)</f>
        <v/>
      </c>
      <c r="N10" s="41">
        <f>IF(OR(L10="",H10=""),"",L10*H10)</f>
        <v/>
      </c>
      <c r="O10" s="39" t="inlineStr">
        <is>
          <t>—</t>
        </is>
      </c>
    </row>
    <row r="11" ht="15" customHeight="1" s="203">
      <c r="A11" s="42" t="n">
        <v>8</v>
      </c>
      <c r="B11" s="43" t="inlineStr">
        <is>
          <t>Validate Data Ranges — HR Age Dataset</t>
        </is>
      </c>
      <c r="C11" s="42" t="inlineStr">
        <is>
          <t>PHASE4</t>
        </is>
      </c>
      <c r="D11" s="42" t="inlineStr">
        <is>
          <t>Siddharth Rao</t>
        </is>
      </c>
      <c r="E11" s="42" t="inlineStr">
        <is>
          <t>biz intel</t>
        </is>
      </c>
      <c r="F11" s="42" t="inlineStr">
        <is>
          <t>02/18/2024</t>
        </is>
      </c>
      <c r="G11" s="42" t="n"/>
      <c r="H11" s="42">
        <f>IF(OR(F11="",G11=""),"",G11-F11)</f>
        <v/>
      </c>
      <c r="I11" s="42">
        <f>IFERROR(IF(VALUE(SUBSTITUTE(SUBSTITUTE(J11,"%","")," ",""))&lt;=0,"Not Started",IF(VALUE(SUBSTITUTE(SUBSTITUTE(J11,"%","")," ",""))&gt;=100,"Completed","In Progress")),"Not Started")</f>
        <v/>
      </c>
      <c r="J11" s="42" t="inlineStr">
        <is>
          <t>100.00%</t>
        </is>
      </c>
      <c r="K11" s="42" t="inlineStr">
        <is>
          <t>Low</t>
        </is>
      </c>
      <c r="L11" s="42" t="inlineStr">
        <is>
          <t>Rs. 4,000</t>
        </is>
      </c>
      <c r="M11" s="42">
        <f>IF(H11="","",H11*8)</f>
        <v/>
      </c>
      <c r="N11" s="44">
        <f>IF(OR(L11="",H11=""),"",L11*H11)</f>
        <v/>
      </c>
      <c r="O11" s="42" t="inlineStr">
        <is>
          <t>—</t>
        </is>
      </c>
    </row>
    <row r="12" ht="15" customHeight="1" s="203">
      <c r="A12" s="39" t="n">
        <v>9</v>
      </c>
      <c r="B12" s="40" t="inlineStr">
        <is>
          <t>Standardize Category Labels — Product SKU</t>
        </is>
      </c>
      <c r="C12" s="39" t="inlineStr">
        <is>
          <t>PHASE 1</t>
        </is>
      </c>
      <c r="D12" s="39" t="inlineStr">
        <is>
          <t>Meera Pillai</t>
        </is>
      </c>
      <c r="E12" s="39" t="inlineStr">
        <is>
          <t>Quality Assur.</t>
        </is>
      </c>
      <c r="F12" s="39" t="inlineStr">
        <is>
          <t>32/13/2024</t>
        </is>
      </c>
      <c r="G12" s="39" t="n"/>
      <c r="H12" s="39">
        <f>IF(OR(F12="",G12=""),"",G12-F12)</f>
        <v/>
      </c>
      <c r="I12" s="39">
        <f>IFERROR(IF(VALUE(SUBSTITUTE(SUBSTITUTE(J12,"%","")," ",""))&lt;=0,"Not Started",IF(VALUE(SUBSTITUTE(SUBSTITUTE(J12,"%","")," ",""))&gt;=100,"Completed","In Progress")),"Not Started")</f>
        <v/>
      </c>
      <c r="J12" s="39" t="inlineStr">
        <is>
          <t>50.00%</t>
        </is>
      </c>
      <c r="K12" s="39" t="inlineStr">
        <is>
          <t>low</t>
        </is>
      </c>
      <c r="L12" s="39" t="inlineStr">
        <is>
          <t>Rs.5000</t>
        </is>
      </c>
      <c r="M12" s="39">
        <f>IF(H12="","",H12*8)</f>
        <v/>
      </c>
      <c r="N12" s="41">
        <f>IF(OR(L12="",H12=""),"",L12*H12)</f>
        <v/>
      </c>
      <c r="O12" s="39" t="inlineStr">
        <is>
          <t>Re-run TRIM</t>
        </is>
      </c>
    </row>
    <row r="13" ht="15" customHeight="1" s="203">
      <c r="A13" s="42" t="n">
        <v>10</v>
      </c>
      <c r="B13" s="43" t="inlineStr">
        <is>
          <t xml:space="preserve">   duplicate cleanup   </t>
        </is>
      </c>
      <c r="C13" s="42" t="inlineStr">
        <is>
          <t>PHASE2</t>
        </is>
      </c>
      <c r="D13" s="42" t="inlineStr">
        <is>
          <t>Rohit Gupta</t>
        </is>
      </c>
      <c r="E13" s="42" t="inlineStr">
        <is>
          <t>pmo</t>
        </is>
      </c>
      <c r="F13" s="42" t="inlineStr">
        <is>
          <t>2024-01-19</t>
        </is>
      </c>
      <c r="G13" s="42" t="n"/>
      <c r="H13" s="42">
        <f>IF(OR(F13="",G13=""),"",G13-F13)</f>
        <v/>
      </c>
      <c r="I13" s="42">
        <f>IFERROR(IF(VALUE(SUBSTITUTE(SUBSTITUTE(J13,"%","")," ",""))&lt;=0,"Not Started",IF(VALUE(SUBSTITUTE(SUBSTITUTE(J13,"%","")," ",""))&gt;=100,"Completed","In Progress")),"Not Started")</f>
        <v/>
      </c>
      <c r="J13" s="42" t="inlineStr">
        <is>
          <t>75.00%</t>
        </is>
      </c>
      <c r="K13" s="42" t="inlineStr">
        <is>
          <t>medium</t>
        </is>
      </c>
      <c r="L13" s="42" t="inlineStr">
        <is>
          <t>Rs. 3,500</t>
        </is>
      </c>
      <c r="M13" s="42">
        <f>IF(H13="","",H13*8)</f>
        <v/>
      </c>
      <c r="N13" s="44">
        <f>IF(OR(L13="",H13=""),"",L13*H13)</f>
        <v/>
      </c>
      <c r="O13" s="42" t="inlineStr">
        <is>
          <t>—</t>
        </is>
      </c>
    </row>
    <row r="14" ht="15" customHeight="1" s="203">
      <c r="A14" s="39" t="n">
        <v>11</v>
      </c>
      <c r="B14" s="40" t="inlineStr">
        <is>
          <t>Remove Duplicates — CRM Export Cleaning</t>
        </is>
      </c>
      <c r="C14" s="39" t="inlineStr">
        <is>
          <t>phase-2</t>
        </is>
      </c>
      <c r="D14" s="39" t="inlineStr">
        <is>
          <t>Meera Pillai</t>
        </is>
      </c>
      <c r="E14" s="39" t="inlineStr">
        <is>
          <t>BI &amp; Analytics</t>
        </is>
      </c>
      <c r="F14" s="39" t="inlineStr">
        <is>
          <t>2024-05-07</t>
        </is>
      </c>
      <c r="G14" s="39" t="n"/>
      <c r="H14" s="39">
        <f>IF(OR(F14="",G14=""),"",G14-F14)</f>
        <v/>
      </c>
      <c r="I14" s="39">
        <f>IFERROR(IF(VALUE(SUBSTITUTE(SUBSTITUTE(J14,"%","")," ",""))&lt;=0,"Not Started",IF(VALUE(SUBSTITUTE(SUBSTITUTE(J14,"%","")," ",""))&gt;=100,"Completed","In Progress")),"Not Started")</f>
        <v/>
      </c>
      <c r="J14" s="39" t="inlineStr">
        <is>
          <t>25%</t>
        </is>
      </c>
      <c r="K14" s="39" t="inlineStr">
        <is>
          <t>Low</t>
        </is>
      </c>
      <c r="L14" s="39" t="inlineStr">
        <is>
          <t>3000</t>
        </is>
      </c>
      <c r="M14" s="39">
        <f>IF(H14="","",H14*8)</f>
        <v/>
      </c>
      <c r="N14" s="41">
        <f>IF(OR(L14="",H14=""),"",L14*H14)</f>
        <v/>
      </c>
      <c r="O14" s="39" t="inlineStr">
        <is>
          <t>Awaiting sign-off</t>
        </is>
      </c>
    </row>
    <row r="15" ht="15" customHeight="1" s="203">
      <c r="A15" s="42" t="n">
        <v>12</v>
      </c>
      <c r="B15" s="43" t="inlineStr">
        <is>
          <t>Trim Extra Spaces — Customer Name Import</t>
        </is>
      </c>
      <c r="C15" s="42" t="inlineStr">
        <is>
          <t>PHASE 4</t>
        </is>
      </c>
      <c r="D15" s="42" t="inlineStr">
        <is>
          <t>Lakshmi Nair</t>
        </is>
      </c>
      <c r="E15" s="42" t="inlineStr">
        <is>
          <t>BUSINESS INTEL.</t>
        </is>
      </c>
      <c r="F15" s="42" t="inlineStr">
        <is>
          <t>2024-04-22</t>
        </is>
      </c>
      <c r="G15" s="42" t="inlineStr">
        <is>
          <t>2024-02-01</t>
        </is>
      </c>
      <c r="H15" s="42">
        <f>IF(OR(F15="",G15=""),"",G15-F15)</f>
        <v/>
      </c>
      <c r="I15" s="42">
        <f>IFERROR(IF(VALUE(SUBSTITUTE(SUBSTITUTE(J15,"%","")," ",""))&lt;=0,"Not Started",IF(VALUE(SUBSTITUTE(SUBSTITUTE(J15,"%","")," ",""))&gt;=100,"Completed","In Progress")),"Not Started")</f>
        <v/>
      </c>
      <c r="J15" s="42" t="inlineStr">
        <is>
          <t>0%</t>
        </is>
      </c>
      <c r="K15" s="42" t="inlineStr">
        <is>
          <t>Medium</t>
        </is>
      </c>
      <c r="L15" s="42" t="inlineStr">
        <is>
          <t>Rs.5000</t>
        </is>
      </c>
      <c r="M15" s="42">
        <f>IF(H15="","",H15*8)</f>
        <v/>
      </c>
      <c r="N15" s="44">
        <f>IF(OR(L15="",H15=""),"",L15*H15)</f>
        <v/>
      </c>
      <c r="O15" s="42" t="inlineStr">
        <is>
          <t>Check formula</t>
        </is>
      </c>
    </row>
    <row r="16" ht="15" customHeight="1" s="203">
      <c r="A16" s="39" t="n">
        <v>13</v>
      </c>
      <c r="B16" s="40" t="inlineStr">
        <is>
          <t>Standardize Text Case — Region Codes</t>
        </is>
      </c>
      <c r="C16" s="39" t="inlineStr">
        <is>
          <t>PHASE1</t>
        </is>
      </c>
      <c r="D16" s="39" t="inlineStr">
        <is>
          <t>12345</t>
        </is>
      </c>
      <c r="E16" s="39" t="inlineStr">
        <is>
          <t>data platform</t>
        </is>
      </c>
      <c r="F16" s="39" t="inlineStr">
        <is>
          <t>22-02-2024</t>
        </is>
      </c>
      <c r="G16" s="39" t="n"/>
      <c r="H16" s="39">
        <f>IF(OR(F16="",G16=""),"",G16-F16)</f>
        <v/>
      </c>
      <c r="I16" s="39">
        <f>IFERROR(IF(VALUE(SUBSTITUTE(SUBSTITUTE(J16,"%","")," ",""))&lt;=0,"Not Started",IF(VALUE(SUBSTITUTE(SUBSTITUTE(J16,"%","")," ",""))&gt;=100,"Completed","In Progress")),"Not Started")</f>
        <v/>
      </c>
      <c r="J16" s="39" t="inlineStr">
        <is>
          <t>100</t>
        </is>
      </c>
      <c r="K16" s="39" t="inlineStr">
        <is>
          <t>MEDIUM</t>
        </is>
      </c>
      <c r="L16" s="39" t="inlineStr">
        <is>
          <t>Rs.5000</t>
        </is>
      </c>
      <c r="M16" s="39">
        <f>IF(H16="","",H16*8)</f>
        <v/>
      </c>
      <c r="N16" s="41">
        <f>IF(OR(L16="",H16=""),"",L16*H16)</f>
        <v/>
      </c>
      <c r="O16" s="39" t="inlineStr">
        <is>
          <t>Needs validation</t>
        </is>
      </c>
    </row>
    <row r="17" ht="15" customHeight="1" s="203">
      <c r="A17" s="42" t="n">
        <v>14</v>
      </c>
      <c r="B17" s="43" t="n"/>
      <c r="C17" s="42" t="inlineStr">
        <is>
          <t>Phase 2</t>
        </is>
      </c>
      <c r="D17" s="42" t="inlineStr">
        <is>
          <t>Priya Sharma</t>
        </is>
      </c>
      <c r="E17" s="42" t="inlineStr">
        <is>
          <t>QUALITY ASSUR.</t>
        </is>
      </c>
      <c r="F17" s="42" t="inlineStr">
        <is>
          <t>01/27/2024</t>
        </is>
      </c>
      <c r="G17" s="42" t="n"/>
      <c r="H17" s="42" t="n">
        <v>28</v>
      </c>
      <c r="I17" s="42" t="inlineStr">
        <is>
          <t>completed</t>
        </is>
      </c>
      <c r="J17" s="42" t="inlineStr">
        <is>
          <t>0 %</t>
        </is>
      </c>
      <c r="K17" s="42" t="inlineStr">
        <is>
          <t>MEDIUM</t>
        </is>
      </c>
      <c r="L17" s="42" t="inlineStr">
        <is>
          <t>Rs.5000</t>
        </is>
      </c>
      <c r="M17" s="42" t="inlineStr">
        <is>
          <t>TBD</t>
        </is>
      </c>
      <c r="N17" s="44" t="inlineStr">
        <is>
          <t>Rs.514492</t>
        </is>
      </c>
      <c r="O17" s="42" t="inlineStr">
        <is>
          <t>Check formula</t>
        </is>
      </c>
    </row>
    <row r="18" ht="15" customHeight="1" s="203">
      <c r="A18" s="39" t="n">
        <v>15</v>
      </c>
      <c r="B18" s="40" t="inlineStr">
        <is>
          <t>Handle Missing Values — Customer Database</t>
        </is>
      </c>
      <c r="C18" s="39" t="inlineStr">
        <is>
          <t>PHASE 3</t>
        </is>
      </c>
      <c r="D18" s="39" t="inlineStr">
        <is>
          <t>RAHUL MEHTA</t>
        </is>
      </c>
      <c r="E18" s="39" t="inlineStr"/>
      <c r="F18" s="39" t="inlineStr">
        <is>
          <t>02/20/2024</t>
        </is>
      </c>
      <c r="G18" s="39" t="n"/>
      <c r="H18" s="39">
        <f>IF(OR(F18="",G18=""),"",G18-F18)</f>
        <v/>
      </c>
      <c r="I18" s="39">
        <f>IFERROR(IF(VALUE(SUBSTITUTE(SUBSTITUTE(J18,"%","")," ",""))&lt;=0,"Not Started",IF(VALUE(SUBSTITUTE(SUBSTITUTE(J18,"%","")," ",""))&gt;=100,"Completed","In Progress")),"Not Started")</f>
        <v/>
      </c>
      <c r="J18" s="39" t="inlineStr">
        <is>
          <t>25 %</t>
        </is>
      </c>
      <c r="K18" s="39" t="inlineStr">
        <is>
          <t>CRITICAL</t>
        </is>
      </c>
      <c r="L18" s="39" t="inlineStr">
        <is>
          <t>3000</t>
        </is>
      </c>
      <c r="M18" s="39">
        <f>IF(H18="","",H18*8)</f>
        <v/>
      </c>
      <c r="N18" s="41">
        <f>IF(OR(L18="",H18=""),"",L18*H18)</f>
        <v/>
      </c>
      <c r="O18" s="39" t="inlineStr">
        <is>
          <t>Verified OK</t>
        </is>
      </c>
    </row>
    <row r="19" ht="15" customHeight="1" s="203">
      <c r="A19" s="42" t="n">
        <v>16</v>
      </c>
      <c r="B19" s="43" t="inlineStr">
        <is>
          <t>Split Combined Columns — Contact Database</t>
        </is>
      </c>
      <c r="C19" s="42" t="inlineStr">
        <is>
          <t>Phase 4</t>
        </is>
      </c>
      <c r="D19" s="42" t="inlineStr">
        <is>
          <t>Rahul Mehta</t>
        </is>
      </c>
      <c r="E19" s="42" t="inlineStr">
        <is>
          <t>BI &amp; ANALYTICS</t>
        </is>
      </c>
      <c r="F19" s="42" t="inlineStr">
        <is>
          <t>Not Available</t>
        </is>
      </c>
      <c r="G19" s="42" t="n"/>
      <c r="H19" s="42">
        <f>IF(OR(F19="",G19=""),"",G19-F19)</f>
        <v/>
      </c>
      <c r="I19" s="42">
        <f>IFERROR(IF(VALUE(SUBSTITUTE(SUBSTITUTE(J19,"%","")," ",""))&lt;=0,"Not Started",IF(VALUE(SUBSTITUTE(SUBSTITUTE(J19,"%","")," ",""))&gt;=100,"Completed","In Progress")),"Not Started")</f>
        <v/>
      </c>
      <c r="J19" s="42" t="inlineStr">
        <is>
          <t>25.00%</t>
        </is>
      </c>
      <c r="K19" s="42" t="inlineStr">
        <is>
          <t>high</t>
        </is>
      </c>
      <c r="L19" s="42" t="inlineStr">
        <is>
          <t>INR 5,500</t>
        </is>
      </c>
      <c r="M19" s="42">
        <f>IF(H19="","",H19*8)</f>
        <v/>
      </c>
      <c r="N19" s="44">
        <f>IF(OR(L19="",H19=""),"",L19*H19)</f>
        <v/>
      </c>
      <c r="O19" s="42" t="inlineStr">
        <is>
          <t>Extra spaces detected</t>
        </is>
      </c>
    </row>
    <row r="20" ht="15" customHeight="1" s="203">
      <c r="A20" s="39" t="n">
        <v>17</v>
      </c>
      <c r="B20" s="40" t="inlineStr">
        <is>
          <t>Remove Non-Numeric Chars — Revenue Data</t>
        </is>
      </c>
      <c r="C20" s="39" t="inlineStr">
        <is>
          <t>PH 5</t>
        </is>
      </c>
      <c r="D20" s="39" t="inlineStr">
        <is>
          <t>SUNITA VERMA</t>
        </is>
      </c>
      <c r="E20" s="39" t="inlineStr">
        <is>
          <t>Business Intel.</t>
        </is>
      </c>
      <c r="F20" s="39" t="inlineStr">
        <is>
          <t>2024-01-21</t>
        </is>
      </c>
      <c r="G20" s="39" t="n"/>
      <c r="H20" s="39">
        <f>IF(OR(F20="",G20=""),"",G20-F20)</f>
        <v/>
      </c>
      <c r="I20" s="39">
        <f>IFERROR(IF(VALUE(SUBSTITUTE(SUBSTITUTE(J20,"%","")," ",""))&lt;=0,"Not Started",IF(VALUE(SUBSTITUTE(SUBSTITUTE(J20,"%","")," ",""))&gt;=100,"Completed","In Progress")),"Not Started")</f>
        <v/>
      </c>
      <c r="J20" s="39" t="inlineStr">
        <is>
          <t>0</t>
        </is>
      </c>
      <c r="K20" s="39" t="inlineStr">
        <is>
          <t>HIGH</t>
        </is>
      </c>
      <c r="L20" s="39" t="inlineStr">
        <is>
          <t>Rs. 4,000</t>
        </is>
      </c>
      <c r="M20" s="39">
        <f>IF(H20="","",H20*8)</f>
        <v/>
      </c>
      <c r="N20" s="41">
        <f>IF(OR(L20="",H20=""),"",L20*H20)</f>
        <v/>
      </c>
      <c r="O20" s="39" t="inlineStr">
        <is>
          <t>Pending review</t>
        </is>
      </c>
    </row>
    <row r="21" ht="15" customHeight="1" s="203">
      <c r="A21" s="42" t="n">
        <v>18</v>
      </c>
      <c r="B21" s="43" t="inlineStr">
        <is>
          <t>Validate Data Ranges — HR Age Dataset</t>
        </is>
      </c>
      <c r="C21" s="42" t="inlineStr">
        <is>
          <t>PHASE2</t>
        </is>
      </c>
      <c r="D21" s="42" t="inlineStr">
        <is>
          <t>Vikram Nair</t>
        </is>
      </c>
      <c r="E21" s="42" t="inlineStr">
        <is>
          <t>data platform</t>
        </is>
      </c>
      <c r="F21" s="42" t="inlineStr">
        <is>
          <t>02/06/2024</t>
        </is>
      </c>
      <c r="G21" s="42" t="n"/>
      <c r="H21" s="42">
        <f>IF(OR(F21="",G21=""),"",G21-F21)</f>
        <v/>
      </c>
      <c r="I21" s="42">
        <f>IFERROR(IF(VALUE(SUBSTITUTE(SUBSTITUTE(J21,"%","")," ",""))&lt;=0,"Not Started",IF(VALUE(SUBSTITUTE(SUBSTITUTE(J21,"%","")," ",""))&gt;=100,"Completed","In Progress")),"Not Started")</f>
        <v/>
      </c>
      <c r="J21" s="42" t="inlineStr">
        <is>
          <t>75%</t>
        </is>
      </c>
      <c r="K21" s="42" t="inlineStr">
        <is>
          <t>high</t>
        </is>
      </c>
      <c r="L21" s="42" t="inlineStr">
        <is>
          <t>Rs. 4,000</t>
        </is>
      </c>
      <c r="M21" s="42">
        <f>IF(H21="","",H21*8)</f>
        <v/>
      </c>
      <c r="N21" s="44">
        <f>IF(OR(L21="",H21=""),"",L21*H21)</f>
        <v/>
      </c>
      <c r="O21" s="42" t="inlineStr">
        <is>
          <t>—</t>
        </is>
      </c>
    </row>
    <row r="22" ht="15" customHeight="1" s="203">
      <c r="A22" s="39" t="n">
        <v>19</v>
      </c>
      <c r="B22" s="40" t="inlineStr">
        <is>
          <t>Standardize Category Labels — Product SKU</t>
        </is>
      </c>
      <c r="C22" s="39" t="inlineStr">
        <is>
          <t>PHASE3</t>
        </is>
      </c>
      <c r="D22" s="39" t="inlineStr">
        <is>
          <t>NEHA JOSHI</t>
        </is>
      </c>
      <c r="E22" s="39" t="inlineStr">
        <is>
          <t>QUALITY ASSUR.</t>
        </is>
      </c>
      <c r="F22" s="39" t="inlineStr">
        <is>
          <t>18-04-2024</t>
        </is>
      </c>
      <c r="G22" s="39" t="n"/>
      <c r="H22" s="39">
        <f>IF(OR(F22="",G22=""),"",G22-F22)</f>
        <v/>
      </c>
      <c r="I22" s="39">
        <f>IFERROR(IF(VALUE(SUBSTITUTE(SUBSTITUTE(J22,"%","")," ",""))&lt;=0,"Not Started",IF(VALUE(SUBSTITUTE(SUBSTITUTE(J22,"%","")," ",""))&gt;=100,"Completed","In Progress")),"Not Started")</f>
        <v/>
      </c>
      <c r="J22" s="39" t="inlineStr">
        <is>
          <t>0</t>
        </is>
      </c>
      <c r="K22" s="39" t="inlineStr">
        <is>
          <t>CRITICAL</t>
        </is>
      </c>
      <c r="L22" s="39" t="inlineStr">
        <is>
          <t>₹4200</t>
        </is>
      </c>
      <c r="M22" s="39">
        <f>IF(H22="","",H22*8)</f>
        <v/>
      </c>
      <c r="N22" s="41">
        <f>IF(OR(L22="",H22=""),"",L22*H22)</f>
        <v/>
      </c>
      <c r="O22" s="39" t="inlineStr">
        <is>
          <t>Verified OK</t>
        </is>
      </c>
    </row>
    <row r="23" ht="15" customHeight="1" s="203">
      <c r="A23" s="42" t="n">
        <v>20</v>
      </c>
      <c r="B23" s="43" t="inlineStr">
        <is>
          <t>Combine &amp; Reconcile Columns — Address</t>
        </is>
      </c>
      <c r="C23" s="42" t="inlineStr">
        <is>
          <t>Phase 4</t>
        </is>
      </c>
      <c r="D23" s="42" t="inlineStr">
        <is>
          <t>Arjun Pillai</t>
        </is>
      </c>
      <c r="E23" s="42" t="inlineStr">
        <is>
          <t>PMO</t>
        </is>
      </c>
      <c r="F23" s="42" t="inlineStr">
        <is>
          <t>27-03-2024</t>
        </is>
      </c>
      <c r="G23" s="42" t="n"/>
      <c r="H23" s="42">
        <f>IF(OR(F23="",G23=""),"",G23-F23)</f>
        <v/>
      </c>
      <c r="I23" s="42">
        <f>IFERROR(IF(VALUE(SUBSTITUTE(SUBSTITUTE(J23,"%","")," ",""))&lt;=0,"Not Started",IF(VALUE(SUBSTITUTE(SUBSTITUTE(J23,"%","")," ",""))&gt;=100,"Completed","In Progress")),"Not Started")</f>
        <v/>
      </c>
      <c r="J23" s="42" t="inlineStr">
        <is>
          <t>100.00%</t>
        </is>
      </c>
      <c r="K23" s="42" t="inlineStr">
        <is>
          <t>medium</t>
        </is>
      </c>
      <c r="L23" s="42" t="inlineStr">
        <is>
          <t xml:space="preserve">  ₹2,000  </t>
        </is>
      </c>
      <c r="M23" s="42">
        <f>IF(H23="","",H23*8)</f>
        <v/>
      </c>
      <c r="N23" s="44">
        <f>IF(OR(L23="",H23=""),"",L23*H23)</f>
        <v/>
      </c>
      <c r="O23" s="42" t="inlineStr">
        <is>
          <t>Needs validation</t>
        </is>
      </c>
    </row>
    <row r="24" ht="15" customHeight="1" s="203">
      <c r="A24" s="39" t="n">
        <v>21</v>
      </c>
      <c r="B24" s="40" t="inlineStr">
        <is>
          <t>Remove Duplicates — CRM Export Cleaning</t>
        </is>
      </c>
      <c r="C24" s="39" t="inlineStr">
        <is>
          <t>phase 1</t>
        </is>
      </c>
      <c r="D24" s="39" t="inlineStr">
        <is>
          <t>pooja iyer</t>
        </is>
      </c>
      <c r="E24" s="39" t="inlineStr">
        <is>
          <t>bi &amp; analytics</t>
        </is>
      </c>
      <c r="F24" s="39" t="inlineStr">
        <is>
          <t>07-05-2024</t>
        </is>
      </c>
      <c r="G24" s="39" t="n"/>
      <c r="H24" s="39">
        <f>IF(OR(F24="",G24=""),"",G24-F24)</f>
        <v/>
      </c>
      <c r="I24" s="39">
        <f>IFERROR(IF(VALUE(SUBSTITUTE(SUBSTITUTE(J24,"%","")," ",""))&lt;=0,"Not Started",IF(VALUE(SUBSTITUTE(SUBSTITUTE(J24,"%","")," ",""))&gt;=100,"Completed","In Progress")),"Not Started")</f>
        <v/>
      </c>
      <c r="J24" s="39" t="inlineStr">
        <is>
          <t>25</t>
        </is>
      </c>
      <c r="K24" s="39" t="inlineStr">
        <is>
          <t>high</t>
        </is>
      </c>
      <c r="L24" s="39" t="inlineStr">
        <is>
          <t>₹4200</t>
        </is>
      </c>
      <c r="M24" s="39">
        <f>IF(H24="","",H24*8)</f>
        <v/>
      </c>
      <c r="N24" s="41">
        <f>IF(OR(L24="",H24=""),"",L24*H24)</f>
        <v/>
      </c>
      <c r="O24" s="39" t="inlineStr">
        <is>
          <t>Check formula</t>
        </is>
      </c>
    </row>
    <row r="25" ht="15" customHeight="1" s="203">
      <c r="A25" s="42" t="n">
        <v>22</v>
      </c>
      <c r="B25" s="43" t="inlineStr">
        <is>
          <t>Trim Extra Spaces — Customer Name Import</t>
        </is>
      </c>
      <c r="C25" s="42" t="inlineStr">
        <is>
          <t>phase 2</t>
        </is>
      </c>
      <c r="D25" s="42" t="inlineStr">
        <is>
          <t>POOJA IYER</t>
        </is>
      </c>
      <c r="E25" s="42" t="inlineStr">
        <is>
          <t>BUSINESS INTEL.</t>
        </is>
      </c>
      <c r="F25" s="42" t="inlineStr">
        <is>
          <t>2024-02-22</t>
        </is>
      </c>
      <c r="G25" s="42" t="n"/>
      <c r="H25" s="42">
        <f>IF(OR(F25="",G25=""),"",G25-F25)</f>
        <v/>
      </c>
      <c r="I25" s="42">
        <f>IFERROR(IF(VALUE(SUBSTITUTE(SUBSTITUTE(J25,"%","")," ",""))&lt;=0,"Not Started",IF(VALUE(SUBSTITUTE(SUBSTITUTE(J25,"%","")," ",""))&gt;=100,"Completed","In Progress")),"Not Started")</f>
        <v/>
      </c>
      <c r="J25" s="42" t="inlineStr">
        <is>
          <t>40 %</t>
        </is>
      </c>
      <c r="K25" s="42" t="inlineStr">
        <is>
          <t>critical</t>
        </is>
      </c>
      <c r="L25" s="42" t="inlineStr">
        <is>
          <t>3000</t>
        </is>
      </c>
      <c r="M25" s="42">
        <f>IF(H25="","",H25*8)</f>
        <v/>
      </c>
      <c r="N25" s="44">
        <f>IF(OR(L25="",H25=""),"",L25*H25)</f>
        <v/>
      </c>
      <c r="O25" s="42" t="inlineStr">
        <is>
          <t>—</t>
        </is>
      </c>
    </row>
    <row r="26" ht="15" customHeight="1" s="203">
      <c r="A26" s="39" t="n">
        <v>23</v>
      </c>
      <c r="B26" s="40" t="inlineStr">
        <is>
          <t>Split Combined Columns — Contact Database</t>
        </is>
      </c>
      <c r="C26" s="39" t="inlineStr">
        <is>
          <t>phase 2</t>
        </is>
      </c>
      <c r="D26" s="39" t="inlineStr">
        <is>
          <t>DEEPA KRISHNAN</t>
        </is>
      </c>
      <c r="E26" s="39" t="inlineStr">
        <is>
          <t>BI &amp; ANALYTICS</t>
        </is>
      </c>
      <c r="F26" s="39" t="inlineStr">
        <is>
          <t>2024-02-08</t>
        </is>
      </c>
      <c r="G26" s="39" t="n"/>
      <c r="H26" s="39">
        <f>IF(OR(F26="",G26=""),"",G26-F26)</f>
        <v/>
      </c>
      <c r="I26" s="39">
        <f>IFERROR(IF(VALUE(SUBSTITUTE(SUBSTITUTE(J26,"%","")," ",""))&lt;=0,"Not Started",IF(VALUE(SUBSTITUTE(SUBSTITUTE(J26,"%","")," ",""))&gt;=100,"Completed","In Progress")),"Not Started")</f>
        <v/>
      </c>
      <c r="J26" s="39" t="inlineStr">
        <is>
          <t>25.00%</t>
        </is>
      </c>
      <c r="K26" s="39" t="inlineStr">
        <is>
          <t>CRITICAL</t>
        </is>
      </c>
      <c r="L26" s="39" t="inlineStr">
        <is>
          <t>Rs. 3,500</t>
        </is>
      </c>
      <c r="M26" s="39">
        <f>IF(H26="","",H26*8)</f>
        <v/>
      </c>
      <c r="N26" s="41">
        <f>IF(OR(L26="",H26=""),"",L26*H26)</f>
        <v/>
      </c>
      <c r="O26" s="39" t="inlineStr">
        <is>
          <t>Extra spaces detected</t>
        </is>
      </c>
    </row>
    <row r="27" ht="15" customHeight="1" s="203">
      <c r="A27" s="42" t="n">
        <v>24</v>
      </c>
      <c r="B27" s="43" t="inlineStr">
        <is>
          <t>Fix Date Formats — Legacy System Dates</t>
        </is>
      </c>
      <c r="C27" s="42" t="inlineStr">
        <is>
          <t>PHASE4</t>
        </is>
      </c>
      <c r="D27" s="42" t="inlineStr">
        <is>
          <t>Karan Malhotra</t>
        </is>
      </c>
      <c r="E27" s="42" t="inlineStr">
        <is>
          <t>QUALITY ASSUR.</t>
        </is>
      </c>
      <c r="F27" s="42" t="inlineStr">
        <is>
          <t>23-03-2024</t>
        </is>
      </c>
      <c r="G27" s="42" t="n"/>
      <c r="H27" s="42">
        <f>IF(OR(F27="",G27=""),"",G27-F27)</f>
        <v/>
      </c>
      <c r="I27" s="42">
        <f>IFERROR(IF(VALUE(SUBSTITUTE(SUBSTITUTE(J27,"%","")," ",""))&lt;=0,"Not Started",IF(VALUE(SUBSTITUTE(SUBSTITUTE(J27,"%","")," ",""))&gt;=100,"Completed","In Progress")),"Not Started")</f>
        <v/>
      </c>
      <c r="J27" s="42" t="inlineStr">
        <is>
          <t>100.00%</t>
        </is>
      </c>
      <c r="K27" s="42" t="inlineStr">
        <is>
          <t>Critical</t>
        </is>
      </c>
      <c r="L27" s="42" t="inlineStr">
        <is>
          <t>Rs. 4,000</t>
        </is>
      </c>
      <c r="M27" s="42">
        <f>IF(H27="","",H27*8)</f>
        <v/>
      </c>
      <c r="N27" s="44">
        <f>IF(OR(L27="",H27=""),"",L27*H27)</f>
        <v/>
      </c>
      <c r="O27" s="42" t="inlineStr">
        <is>
          <t>Needs validation</t>
        </is>
      </c>
    </row>
    <row r="28" ht="15" customHeight="1" s="203">
      <c r="A28" s="39" t="n">
        <v>25</v>
      </c>
      <c r="B28" s="40" t="inlineStr">
        <is>
          <t>Handle Missing Values — Customer Database</t>
        </is>
      </c>
      <c r="C28" s="39" t="inlineStr">
        <is>
          <t>Phase 1</t>
        </is>
      </c>
      <c r="D28" s="39" t="inlineStr">
        <is>
          <t>rohit gupta</t>
        </is>
      </c>
      <c r="E28" s="39" t="inlineStr">
        <is>
          <t>pmo</t>
        </is>
      </c>
      <c r="F28" s="39" t="inlineStr">
        <is>
          <t>01/11/2024</t>
        </is>
      </c>
      <c r="G28" s="39" t="n"/>
      <c r="H28" s="39">
        <f>IF(OR(F28="",G28=""),"",G28-F28)</f>
        <v/>
      </c>
      <c r="I28" s="39">
        <f>IFERROR(IF(VALUE(SUBSTITUTE(SUBSTITUTE(J28,"%","")," ",""))&lt;=0,"Not Started",IF(VALUE(SUBSTITUTE(SUBSTITUTE(J28,"%","")," ",""))&gt;=100,"Completed","In Progress")),"Not Started")</f>
        <v/>
      </c>
      <c r="J28" s="39" t="inlineStr">
        <is>
          <t>40.00%</t>
        </is>
      </c>
      <c r="K28" s="39" t="inlineStr">
        <is>
          <t>CRITICAL</t>
        </is>
      </c>
      <c r="L28" s="39" t="inlineStr">
        <is>
          <t>Rs.5000</t>
        </is>
      </c>
      <c r="M28" s="39">
        <f>IF(H28="","",H28*8)</f>
        <v/>
      </c>
      <c r="N28" s="41">
        <f>IF(OR(L28="",H28=""),"",L28*H28)</f>
        <v/>
      </c>
      <c r="O28" s="39" t="inlineStr">
        <is>
          <t>Pending review</t>
        </is>
      </c>
    </row>
    <row r="29" ht="15" customHeight="1" s="203">
      <c r="A29" s="42" t="n">
        <v>26</v>
      </c>
      <c r="B29" s="43" t="inlineStr">
        <is>
          <t>Split Combined Columns — Contact Database</t>
        </is>
      </c>
      <c r="C29" s="42" t="inlineStr">
        <is>
          <t>phase 2</t>
        </is>
      </c>
      <c r="D29" s="42" t="inlineStr">
        <is>
          <t>ananya singh</t>
        </is>
      </c>
      <c r="E29" s="42" t="inlineStr">
        <is>
          <t>BI &amp; Analytics</t>
        </is>
      </c>
      <c r="F29" s="42" t="inlineStr">
        <is>
          <t>2024-01-07</t>
        </is>
      </c>
      <c r="G29" s="42" t="n"/>
      <c r="H29" s="42">
        <f>IF(OR(F29="",G29=""),"",G29-F29)</f>
        <v/>
      </c>
      <c r="I29" s="42">
        <f>IFERROR(IF(VALUE(SUBSTITUTE(SUBSTITUTE(J29,"%","")," ",""))&lt;=0,"Not Started",IF(VALUE(SUBSTITUTE(SUBSTITUTE(J29,"%","")," ",""))&gt;=100,"Completed","In Progress")),"Not Started")</f>
        <v/>
      </c>
      <c r="J29" s="42" t="inlineStr">
        <is>
          <t>0.00%</t>
        </is>
      </c>
      <c r="K29" s="42" t="inlineStr">
        <is>
          <t>MEDIUM</t>
        </is>
      </c>
      <c r="L29" s="42" t="inlineStr">
        <is>
          <t>Rs. 4,000</t>
        </is>
      </c>
      <c r="M29" s="42">
        <f>IF(H29="","",H29*8)</f>
        <v/>
      </c>
      <c r="N29" s="44">
        <f>IF(OR(L29="",H29=""),"",L29*H29)</f>
        <v/>
      </c>
      <c r="O29" s="42" t="inlineStr">
        <is>
          <t>Extra spaces detected</t>
        </is>
      </c>
    </row>
    <row r="30" ht="15" customHeight="1" s="203">
      <c r="A30" s="39" t="n">
        <v>27</v>
      </c>
      <c r="B30" s="40" t="inlineStr">
        <is>
          <t>Remove Non-Numeric Chars — Revenue Data</t>
        </is>
      </c>
      <c r="C30" s="39" t="inlineStr">
        <is>
          <t>phase 3</t>
        </is>
      </c>
      <c r="D30" s="39" t="inlineStr">
        <is>
          <t>Rohit Gupta</t>
        </is>
      </c>
      <c r="E30" s="39" t="inlineStr">
        <is>
          <t>BUSINESS INTEL.</t>
        </is>
      </c>
      <c r="F30" s="39" t="inlineStr">
        <is>
          <t>2024-05-23</t>
        </is>
      </c>
      <c r="G30" s="39" t="n"/>
      <c r="H30" s="39">
        <f>IF(OR(F30="",G30=""),"",G30-F30)</f>
        <v/>
      </c>
      <c r="I30" s="39">
        <f>IFERROR(IF(VALUE(SUBSTITUTE(SUBSTITUTE(J30,"%","")," ",""))&lt;=0,"Not Started",IF(VALUE(SUBSTITUTE(SUBSTITUTE(J30,"%","")," ",""))&gt;=100,"Completed","In Progress")),"Not Started")</f>
        <v/>
      </c>
      <c r="J30" s="39" t="inlineStr">
        <is>
          <t>100</t>
        </is>
      </c>
      <c r="K30" s="39" t="inlineStr">
        <is>
          <t>high</t>
        </is>
      </c>
      <c r="L30" s="39" t="inlineStr">
        <is>
          <t>₹4200</t>
        </is>
      </c>
      <c r="M30" s="39">
        <f>IF(H30="","",H30*8)</f>
        <v/>
      </c>
      <c r="N30" s="41">
        <f>IF(OR(L30="",H30=""),"",L30*H30)</f>
        <v/>
      </c>
      <c r="O30" s="39" t="inlineStr">
        <is>
          <t>Extra spaces detected</t>
        </is>
      </c>
    </row>
    <row r="31" ht="15" customHeight="1" s="203">
      <c r="A31" s="42" t="n">
        <v>28</v>
      </c>
      <c r="B31" s="43" t="inlineStr">
        <is>
          <t>Validate Data Ranges — HR Age Dataset</t>
        </is>
      </c>
      <c r="C31" s="42" t="inlineStr">
        <is>
          <t>phase 4</t>
        </is>
      </c>
      <c r="D31" s="42" t="inlineStr">
        <is>
          <t>ANANYA SINGH</t>
        </is>
      </c>
      <c r="E31" s="42" t="inlineStr">
        <is>
          <t>DATA PLATFORM</t>
        </is>
      </c>
      <c r="F31" s="42" t="inlineStr">
        <is>
          <t>2024-05-15</t>
        </is>
      </c>
      <c r="G31" s="42" t="n"/>
      <c r="H31" s="42">
        <f>IF(OR(F31="",G31=""),"",G31-F31)</f>
        <v/>
      </c>
      <c r="I31" s="42">
        <f>IFERROR(IF(VALUE(SUBSTITUTE(SUBSTITUTE(J31,"%","")," ",""))&lt;=0,"Not Started",IF(VALUE(SUBSTITUTE(SUBSTITUTE(J31,"%","")," ",""))&gt;=100,"Completed","In Progress")),"Not Started")</f>
        <v/>
      </c>
      <c r="J31" s="42" t="inlineStr">
        <is>
          <t>100%</t>
        </is>
      </c>
      <c r="K31" s="42" t="inlineStr">
        <is>
          <t>Low</t>
        </is>
      </c>
      <c r="L31" s="42" t="inlineStr">
        <is>
          <t xml:space="preserve">  ₹2,000  </t>
        </is>
      </c>
      <c r="M31" s="42">
        <f>IF(H31="","",H31*8)</f>
        <v/>
      </c>
      <c r="N31" s="44">
        <f>IF(OR(L31="",H31=""),"",L31*H31)</f>
        <v/>
      </c>
      <c r="O31" s="42" t="inlineStr">
        <is>
          <t>Flag for QA</t>
        </is>
      </c>
    </row>
    <row r="32" ht="15" customHeight="1" s="203">
      <c r="A32" s="39" t="n">
        <v>29</v>
      </c>
      <c r="B32" s="40" t="inlineStr">
        <is>
          <t>Standardize Category Labels — Product SKU</t>
        </is>
      </c>
      <c r="C32" s="39" t="inlineStr">
        <is>
          <t>Phase 1</t>
        </is>
      </c>
      <c r="D32" s="39" t="inlineStr">
        <is>
          <t>Priya Sharma</t>
        </is>
      </c>
      <c r="E32" s="39" t="inlineStr">
        <is>
          <t>Quality Assur.</t>
        </is>
      </c>
      <c r="F32" s="39" t="inlineStr">
        <is>
          <t>05/01/2024</t>
        </is>
      </c>
      <c r="G32" s="39" t="n"/>
      <c r="H32" s="39">
        <f>IF(OR(F32="",G32=""),"",G32-F32)</f>
        <v/>
      </c>
      <c r="I32" s="39">
        <f>IFERROR(IF(VALUE(SUBSTITUTE(SUBSTITUTE(J32,"%","")," ",""))&lt;=0,"Not Started",IF(VALUE(SUBSTITUTE(SUBSTITUTE(J32,"%","")," ",""))&gt;=100,"Completed","In Progress")),"Not Started")</f>
        <v/>
      </c>
      <c r="J32" s="39" t="inlineStr">
        <is>
          <t>75.00%</t>
        </is>
      </c>
      <c r="K32" s="39" t="inlineStr">
        <is>
          <t>High</t>
        </is>
      </c>
      <c r="L32" s="39" t="inlineStr">
        <is>
          <t>Rs. 3,500</t>
        </is>
      </c>
      <c r="M32" s="39">
        <f>IF(H32="","",H32*8)</f>
        <v/>
      </c>
      <c r="N32" s="41">
        <f>IF(OR(L32="",H32=""),"",L32*H32)</f>
        <v/>
      </c>
      <c r="O32" s="39" t="inlineStr">
        <is>
          <t>Pending review</t>
        </is>
      </c>
    </row>
    <row r="33" ht="15" customHeight="1" s="203">
      <c r="A33" s="42" t="n">
        <v>30</v>
      </c>
      <c r="B33" s="43" t="inlineStr">
        <is>
          <t>Combine &amp; Reconcile Columns — Address</t>
        </is>
      </c>
      <c r="C33" s="42" t="inlineStr">
        <is>
          <t>phase 2</t>
        </is>
      </c>
      <c r="D33" s="42" t="inlineStr">
        <is>
          <t>Priya Sharma</t>
        </is>
      </c>
      <c r="E33" s="42" t="inlineStr">
        <is>
          <t>pmo</t>
        </is>
      </c>
      <c r="F33" s="42" t="inlineStr">
        <is>
          <t>05/11/2024</t>
        </is>
      </c>
      <c r="G33" s="42" t="n"/>
      <c r="H33" s="42">
        <f>IF(OR(F33="",G33=""),"",G33-F33)</f>
        <v/>
      </c>
      <c r="I33" s="42">
        <f>IFERROR(IF(VALUE(SUBSTITUTE(SUBSTITUTE(J33,"%","")," ",""))&lt;=0,"Not Started",IF(VALUE(SUBSTITUTE(SUBSTITUTE(J33,"%","")," ",""))&gt;=100,"Completed","In Progress")),"Not Started")</f>
        <v/>
      </c>
      <c r="J33" s="42" t="inlineStr">
        <is>
          <t>50</t>
        </is>
      </c>
      <c r="K33" s="42" t="inlineStr">
        <is>
          <t>CRITICAL</t>
        </is>
      </c>
      <c r="L33" s="42" t="inlineStr">
        <is>
          <t>3000</t>
        </is>
      </c>
      <c r="M33" s="42">
        <f>IF(H33="","",H33*8)</f>
        <v/>
      </c>
      <c r="N33" s="44">
        <f>IF(OR(L33="",H33=""),"",L33*H33)</f>
        <v/>
      </c>
      <c r="O33" s="42" t="inlineStr">
        <is>
          <t>Check formula</t>
        </is>
      </c>
    </row>
    <row r="34" ht="15" customHeight="1" s="203">
      <c r="A34" s="39" t="n">
        <v>31</v>
      </c>
      <c r="B34" s="40" t="inlineStr">
        <is>
          <t>Remove Duplicates — CRM Export Cleaning</t>
        </is>
      </c>
      <c r="C34" s="39" t="inlineStr">
        <is>
          <t>Phase 3</t>
        </is>
      </c>
      <c r="D34" s="39" t="inlineStr">
        <is>
          <t>Priya Sharma</t>
        </is>
      </c>
      <c r="E34" s="39" t="inlineStr">
        <is>
          <t>bi &amp; analytics</t>
        </is>
      </c>
      <c r="F34" s="39" t="inlineStr">
        <is>
          <t>03/15/2024</t>
        </is>
      </c>
      <c r="G34" s="39" t="n"/>
      <c r="H34" s="39">
        <f>IF(OR(F34="",G34=""),"",G34-F34)</f>
        <v/>
      </c>
      <c r="I34" s="39">
        <f>IFERROR(IF(VALUE(SUBSTITUTE(SUBSTITUTE(J34,"%","")," ",""))&lt;=0,"Not Started",IF(VALUE(SUBSTITUTE(SUBSTITUTE(J34,"%","")," ",""))&gt;=100,"Completed","In Progress")),"Not Started")</f>
        <v/>
      </c>
      <c r="J34" s="39" t="inlineStr">
        <is>
          <t>100%</t>
        </is>
      </c>
      <c r="K34" s="39" t="inlineStr">
        <is>
          <t>MEDIUM</t>
        </is>
      </c>
      <c r="L34" s="39" t="inlineStr">
        <is>
          <t>INR 5,500</t>
        </is>
      </c>
      <c r="M34" s="39">
        <f>IF(H34="","",H34*8)</f>
        <v/>
      </c>
      <c r="N34" s="41">
        <f>IF(OR(L34="",H34=""),"",L34*H34)</f>
        <v/>
      </c>
      <c r="O34" s="39" t="inlineStr">
        <is>
          <t>Flag for QA</t>
        </is>
      </c>
    </row>
    <row r="35" ht="15" customHeight="1" s="203">
      <c r="A35" s="42" t="n">
        <v>32</v>
      </c>
      <c r="B35" s="43" t="inlineStr">
        <is>
          <t>Trim Extra Spaces — Customer Name Import</t>
        </is>
      </c>
      <c r="C35" s="42" t="inlineStr">
        <is>
          <t>phase 4</t>
        </is>
      </c>
      <c r="D35" s="42" t="inlineStr">
        <is>
          <t xml:space="preserve">  Vikram Nair  </t>
        </is>
      </c>
      <c r="E35" s="42" t="inlineStr">
        <is>
          <t>Business Intel.</t>
        </is>
      </c>
      <c r="F35" s="42" t="inlineStr">
        <is>
          <t>2024-04-22</t>
        </is>
      </c>
      <c r="G35" s="42" t="n"/>
      <c r="H35" s="42">
        <f>IF(OR(F35="",G35=""),"",G35-F35)</f>
        <v/>
      </c>
      <c r="I35" s="42">
        <f>IFERROR(IF(VALUE(SUBSTITUTE(SUBSTITUTE(J35,"%","")," ",""))&lt;=0,"Not Started",IF(VALUE(SUBSTITUTE(SUBSTITUTE(J35,"%","")," ",""))&gt;=100,"Completed","In Progress")),"Not Started")</f>
        <v/>
      </c>
      <c r="J35" s="42" t="inlineStr">
        <is>
          <t>100</t>
        </is>
      </c>
      <c r="K35" s="42" t="inlineStr">
        <is>
          <t>Critical</t>
        </is>
      </c>
      <c r="L35" s="42" t="inlineStr">
        <is>
          <t>Rs. 4,000</t>
        </is>
      </c>
      <c r="M35" s="42">
        <f>IF(H35="","",H35*8)</f>
        <v/>
      </c>
      <c r="N35" s="44">
        <f>IF(OR(L35="",H35=""),"",L35*H35)</f>
        <v/>
      </c>
      <c r="O35" s="42" t="inlineStr">
        <is>
          <t>Check formula</t>
        </is>
      </c>
    </row>
    <row r="36" ht="15" customHeight="1" s="203">
      <c r="A36" s="39" t="n">
        <v>33</v>
      </c>
      <c r="B36" s="40" t="inlineStr">
        <is>
          <t>Standardize Text Case — Region Codes</t>
        </is>
      </c>
      <c r="C36" s="39" t="inlineStr">
        <is>
          <t>PHASE1</t>
        </is>
      </c>
      <c r="D36" s="39" t="inlineStr">
        <is>
          <t>vikram nair</t>
        </is>
      </c>
      <c r="E36" s="39" t="inlineStr">
        <is>
          <t>Data Platform</t>
        </is>
      </c>
      <c r="F36" s="39" t="inlineStr">
        <is>
          <t>2024-02-16</t>
        </is>
      </c>
      <c r="G36" s="39" t="n"/>
      <c r="H36" s="39">
        <f>IF(OR(F36="",G36=""),"",G36-F36)</f>
        <v/>
      </c>
      <c r="I36" s="39">
        <f>IFERROR(IF(VALUE(SUBSTITUTE(SUBSTITUTE(J36,"%","")," ",""))&lt;=0,"Not Started",IF(VALUE(SUBSTITUTE(SUBSTITUTE(J36,"%","")," ",""))&gt;=100,"Completed","In Progress")),"Not Started")</f>
        <v/>
      </c>
      <c r="J36" s="39" t="inlineStr">
        <is>
          <t>25 %</t>
        </is>
      </c>
      <c r="K36" s="39" t="inlineStr">
        <is>
          <t>CRITICAL</t>
        </is>
      </c>
      <c r="L36" s="39" t="inlineStr">
        <is>
          <t>Rs. 3,500</t>
        </is>
      </c>
      <c r="M36" s="39">
        <f>IF(H36="","",H36*8)</f>
        <v/>
      </c>
      <c r="N36" s="41">
        <f>IF(OR(L36="",H36=""),"",L36*H36)</f>
        <v/>
      </c>
      <c r="O36" s="39" t="inlineStr">
        <is>
          <t>Extra spaces detected</t>
        </is>
      </c>
    </row>
    <row r="37" ht="15" customHeight="1" s="203">
      <c r="A37" s="42" t="n">
        <v>34</v>
      </c>
      <c r="B37" s="43" t="inlineStr">
        <is>
          <t>Fix Date Formats — Legacy System Dates</t>
        </is>
      </c>
      <c r="C37" s="42" t="inlineStr">
        <is>
          <t>phase 2</t>
        </is>
      </c>
      <c r="D37" s="42" t="inlineStr">
        <is>
          <t>Arjun Pillai</t>
        </is>
      </c>
      <c r="E37" s="42" t="inlineStr">
        <is>
          <t>QUALITY ASSUR.</t>
        </is>
      </c>
      <c r="F37" s="42" t="inlineStr">
        <is>
          <t>01/01/2024</t>
        </is>
      </c>
      <c r="G37" s="42" t="n"/>
      <c r="H37" s="42">
        <f>IF(OR(F37="",G37=""),"",G37-F37)</f>
        <v/>
      </c>
      <c r="I37" s="42">
        <f>IFERROR(IF(VALUE(SUBSTITUTE(SUBSTITUTE(J37,"%","")," ",""))&lt;=0,"Not Started",IF(VALUE(SUBSTITUTE(SUBSTITUTE(J37,"%","")," ",""))&gt;=100,"Completed","In Progress")),"Not Started")</f>
        <v/>
      </c>
      <c r="J37" s="42" t="inlineStr">
        <is>
          <t>100.00%</t>
        </is>
      </c>
      <c r="K37" s="42" t="inlineStr">
        <is>
          <t>CRITICAL</t>
        </is>
      </c>
      <c r="L37" s="42" t="inlineStr">
        <is>
          <t xml:space="preserve">  ₹2,000  </t>
        </is>
      </c>
      <c r="M37" s="42">
        <f>IF(H37="","",H37*8)</f>
        <v/>
      </c>
      <c r="N37" s="44">
        <f>IF(OR(L37="",H37=""),"",L37*H37)</f>
        <v/>
      </c>
      <c r="O37" s="42" t="inlineStr">
        <is>
          <t>—</t>
        </is>
      </c>
    </row>
    <row r="38" ht="15" customHeight="1" s="203">
      <c r="A38" s="39" t="n">
        <v>35</v>
      </c>
      <c r="B38" s="40" t="inlineStr">
        <is>
          <t>Handle Missing Values — Customer Database</t>
        </is>
      </c>
      <c r="C38" s="39" t="inlineStr">
        <is>
          <t>PHASE 3</t>
        </is>
      </c>
      <c r="D38" s="39" t="inlineStr">
        <is>
          <t>neha joshi</t>
        </is>
      </c>
      <c r="E38" s="39" t="inlineStr">
        <is>
          <t>PMO</t>
        </is>
      </c>
      <c r="F38" s="39" t="inlineStr">
        <is>
          <t>2024-02-28</t>
        </is>
      </c>
      <c r="G38" s="39" t="n"/>
      <c r="H38" s="39">
        <f>IF(OR(F38="",G38=""),"",G38-F38)</f>
        <v/>
      </c>
      <c r="I38" s="39">
        <f>IFERROR(IF(VALUE(SUBSTITUTE(SUBSTITUTE(J38,"%","")," ",""))&lt;=0,"Not Started",IF(VALUE(SUBSTITUTE(SUBSTITUTE(J38,"%","")," ",""))&gt;=100,"Completed","In Progress")),"Not Started")</f>
        <v/>
      </c>
      <c r="J38" s="39" t="inlineStr">
        <is>
          <t>40.00%</t>
        </is>
      </c>
      <c r="K38" s="39" t="inlineStr">
        <is>
          <t>High</t>
        </is>
      </c>
      <c r="L38" s="39" t="inlineStr">
        <is>
          <t xml:space="preserve">  ₹2,000  </t>
        </is>
      </c>
      <c r="M38" s="39">
        <f>IF(H38="","",H38*8)</f>
        <v/>
      </c>
      <c r="N38" s="41">
        <f>IF(OR(L38="",H38=""),"",L38*H38)</f>
        <v/>
      </c>
      <c r="O38" s="39" t="inlineStr">
        <is>
          <t>—</t>
        </is>
      </c>
    </row>
    <row r="39" ht="15" customHeight="1" s="203">
      <c r="A39" s="42" t="n">
        <v>36</v>
      </c>
      <c r="B39" s="43" t="inlineStr">
        <is>
          <t>Split Combined Columns — Contact Database</t>
        </is>
      </c>
      <c r="C39" s="42" t="inlineStr">
        <is>
          <t>PHASE4</t>
        </is>
      </c>
      <c r="D39" s="42" t="inlineStr">
        <is>
          <t>pooja iyer</t>
        </is>
      </c>
      <c r="E39" s="42" t="inlineStr">
        <is>
          <t>BI &amp; Analytics</t>
        </is>
      </c>
      <c r="F39" s="42" t="inlineStr">
        <is>
          <t>05/23/2024</t>
        </is>
      </c>
      <c r="G39" s="42" t="n"/>
      <c r="H39" s="42">
        <f>IF(OR(F39="",G39=""),"",G39-F39)</f>
        <v/>
      </c>
      <c r="I39" s="42">
        <f>IFERROR(IF(VALUE(SUBSTITUTE(SUBSTITUTE(J39,"%","")," ",""))&lt;=0,"Not Started",IF(VALUE(SUBSTITUTE(SUBSTITUTE(J39,"%","")," ",""))&gt;=100,"Completed","In Progress")),"Not Started")</f>
        <v/>
      </c>
      <c r="J39" s="42" t="inlineStr">
        <is>
          <t>65</t>
        </is>
      </c>
      <c r="K39" s="42" t="inlineStr">
        <is>
          <t>medium</t>
        </is>
      </c>
      <c r="L39" s="42" t="inlineStr">
        <is>
          <t>Rs. 3,500</t>
        </is>
      </c>
      <c r="M39" s="42">
        <f>IF(H39="","",H39*8)</f>
        <v/>
      </c>
      <c r="N39" s="44">
        <f>IF(OR(L39="",H39=""),"",L39*H39)</f>
        <v/>
      </c>
      <c r="O39" s="42" t="inlineStr">
        <is>
          <t>Flag for QA</t>
        </is>
      </c>
    </row>
    <row r="40" ht="15" customHeight="1" s="203">
      <c r="A40" s="39" t="n">
        <v>37</v>
      </c>
      <c r="B40" s="40" t="inlineStr">
        <is>
          <t>Remove Non-Numeric Chars — Revenue Data</t>
        </is>
      </c>
      <c r="C40" s="39" t="inlineStr">
        <is>
          <t>phase 1</t>
        </is>
      </c>
      <c r="D40" s="39" t="inlineStr">
        <is>
          <t>POOJA IYER</t>
        </is>
      </c>
      <c r="E40" s="39" t="inlineStr">
        <is>
          <t>business intel.</t>
        </is>
      </c>
      <c r="F40" s="39" t="inlineStr">
        <is>
          <t>11-03-2024</t>
        </is>
      </c>
      <c r="G40" s="39" t="n"/>
      <c r="H40" s="39">
        <f>IF(OR(F40="",G40=""),"",G40-F40)</f>
        <v/>
      </c>
      <c r="I40" s="39">
        <f>IFERROR(IF(VALUE(SUBSTITUTE(SUBSTITUTE(J40,"%","")," ",""))&lt;=0,"Not Started",IF(VALUE(SUBSTITUTE(SUBSTITUTE(J40,"%","")," ",""))&gt;=100,"Completed","In Progress")),"Not Started")</f>
        <v/>
      </c>
      <c r="J40" s="39" t="inlineStr">
        <is>
          <t>0 %</t>
        </is>
      </c>
      <c r="K40" s="39" t="inlineStr">
        <is>
          <t>High</t>
        </is>
      </c>
      <c r="L40" s="39" t="inlineStr">
        <is>
          <t>Rs. 3,500</t>
        </is>
      </c>
      <c r="M40" s="39">
        <f>IF(H40="","",H40*8)</f>
        <v/>
      </c>
      <c r="N40" s="41">
        <f>IF(OR(L40="",H40=""),"",L40*H40)</f>
        <v/>
      </c>
      <c r="O40" s="39" t="inlineStr">
        <is>
          <t>Extra spaces detected</t>
        </is>
      </c>
    </row>
    <row r="41" ht="15" customHeight="1" s="203">
      <c r="A41" s="42" t="n">
        <v>38</v>
      </c>
      <c r="B41" s="43" t="inlineStr">
        <is>
          <t>Validate Data Ranges — HR Age Dataset</t>
        </is>
      </c>
      <c r="C41" s="42" t="inlineStr">
        <is>
          <t>PHASE2</t>
        </is>
      </c>
      <c r="D41" s="42" t="inlineStr">
        <is>
          <t>Pooja Iyer</t>
        </is>
      </c>
      <c r="E41" s="42" t="inlineStr">
        <is>
          <t>DATA PLATFORM</t>
        </is>
      </c>
      <c r="F41" s="42" t="inlineStr">
        <is>
          <t>17-03-2024</t>
        </is>
      </c>
      <c r="G41" s="42" t="n"/>
      <c r="H41" s="42">
        <f>IF(OR(F41="",G41=""),"",G41-F41)</f>
        <v/>
      </c>
      <c r="I41" s="42">
        <f>IFERROR(IF(VALUE(SUBSTITUTE(SUBSTITUTE(J41,"%","")," ",""))&lt;=0,"Not Started",IF(VALUE(SUBSTITUTE(SUBSTITUTE(J41,"%","")," ",""))&gt;=100,"Completed","In Progress")),"Not Started")</f>
        <v/>
      </c>
      <c r="J41" s="42" t="inlineStr">
        <is>
          <t>50.00%</t>
        </is>
      </c>
      <c r="K41" s="42" t="inlineStr">
        <is>
          <t>low</t>
        </is>
      </c>
      <c r="L41" s="42" t="inlineStr">
        <is>
          <t>3000</t>
        </is>
      </c>
      <c r="M41" s="42">
        <f>IF(H41="","",H41*8)</f>
        <v/>
      </c>
      <c r="N41" s="44">
        <f>IF(OR(L41="",H41=""),"",L41*H41)</f>
        <v/>
      </c>
      <c r="O41" s="42" t="inlineStr">
        <is>
          <t>Minor inconsistency</t>
        </is>
      </c>
    </row>
    <row r="42" ht="15" customHeight="1" s="203">
      <c r="A42" s="39" t="n">
        <v>39</v>
      </c>
      <c r="B42" s="40" t="inlineStr">
        <is>
          <t>Standardize Category Labels — Product SKU</t>
        </is>
      </c>
      <c r="C42" s="39" t="inlineStr">
        <is>
          <t>PHASE 3</t>
        </is>
      </c>
      <c r="D42" s="39" t="inlineStr">
        <is>
          <t>siddharth rao</t>
        </is>
      </c>
      <c r="E42" s="39" t="inlineStr">
        <is>
          <t>QUALITY ASSUR.</t>
        </is>
      </c>
      <c r="F42" s="39" t="inlineStr">
        <is>
          <t>04/28/2024</t>
        </is>
      </c>
      <c r="G42" s="39" t="n"/>
      <c r="H42" s="39">
        <f>IF(OR(F42="",G42=""),"",G42-F42)</f>
        <v/>
      </c>
      <c r="I42" s="39">
        <f>IFERROR(IF(VALUE(SUBSTITUTE(SUBSTITUTE(J42,"%","")," ",""))&lt;=0,"Not Started",IF(VALUE(SUBSTITUTE(SUBSTITUTE(J42,"%","")," ",""))&gt;=100,"Completed","In Progress")),"Not Started")</f>
        <v/>
      </c>
      <c r="J42" s="39" t="inlineStr">
        <is>
          <t>75 %</t>
        </is>
      </c>
      <c r="K42" s="39" t="inlineStr">
        <is>
          <t>low</t>
        </is>
      </c>
      <c r="L42" s="39" t="inlineStr">
        <is>
          <t>Rs. 3,500</t>
        </is>
      </c>
      <c r="M42" s="39">
        <f>IF(H42="","",H42*8)</f>
        <v/>
      </c>
      <c r="N42" s="41">
        <f>IF(OR(L42="",H42=""),"",L42*H42)</f>
        <v/>
      </c>
      <c r="O42" s="39" t="inlineStr">
        <is>
          <t>—</t>
        </is>
      </c>
    </row>
    <row r="43" ht="15" customHeight="1" s="203">
      <c r="A43" s="42" t="n">
        <v>40</v>
      </c>
      <c r="B43" s="43" t="inlineStr">
        <is>
          <t>Combine &amp; Reconcile Columns — Address</t>
        </is>
      </c>
      <c r="C43" s="42" t="inlineStr">
        <is>
          <t>PHASE 4</t>
        </is>
      </c>
      <c r="D43" s="42" t="inlineStr">
        <is>
          <t>Siddharth Rao</t>
        </is>
      </c>
      <c r="E43" s="42" t="inlineStr">
        <is>
          <t>PMO</t>
        </is>
      </c>
      <c r="F43" s="42" t="inlineStr">
        <is>
          <t>03/21/2024</t>
        </is>
      </c>
      <c r="G43" s="42" t="n"/>
      <c r="H43" s="42">
        <f>IF(OR(F43="",G43=""),"",G43-F43)</f>
        <v/>
      </c>
      <c r="I43" s="42">
        <f>IFERROR(IF(VALUE(SUBSTITUTE(SUBSTITUTE(J43,"%","")," ",""))&lt;=0,"Not Started",IF(VALUE(SUBSTITUTE(SUBSTITUTE(J43,"%","")," ",""))&gt;=100,"Completed","In Progress")),"Not Started")</f>
        <v/>
      </c>
      <c r="J43" s="42" t="inlineStr">
        <is>
          <t>25</t>
        </is>
      </c>
      <c r="K43" s="42" t="inlineStr">
        <is>
          <t>MEDIUM</t>
        </is>
      </c>
      <c r="L43" s="42" t="inlineStr">
        <is>
          <t>₹4200</t>
        </is>
      </c>
      <c r="M43" s="42">
        <f>IF(H43="","",H43*8)</f>
        <v/>
      </c>
      <c r="N43" s="44">
        <f>IF(OR(L43="",H43=""),"",L43*H43)</f>
        <v/>
      </c>
      <c r="O43" s="42" t="inlineStr">
        <is>
          <t>Extra spaces detected</t>
        </is>
      </c>
    </row>
    <row r="44" ht="15" customHeight="1" s="203">
      <c r="A44" s="39" t="n">
        <v>41</v>
      </c>
      <c r="B44" s="40" t="inlineStr">
        <is>
          <t>Remove Duplicates — CRM Export Cleaning</t>
        </is>
      </c>
      <c r="C44" s="39" t="inlineStr">
        <is>
          <t>phase 1</t>
        </is>
      </c>
      <c r="D44" s="39" t="inlineStr">
        <is>
          <t xml:space="preserve">  Lakshmi Nair  </t>
        </is>
      </c>
      <c r="E44" s="39" t="inlineStr">
        <is>
          <t>BI &amp; Analytics</t>
        </is>
      </c>
      <c r="F44" s="39" t="inlineStr">
        <is>
          <t>17-01-2024</t>
        </is>
      </c>
      <c r="G44" s="39" t="n"/>
      <c r="H44" s="39">
        <f>IF(OR(F44="",G44=""),"",G44-F44)</f>
        <v/>
      </c>
      <c r="I44" s="39">
        <f>IFERROR(IF(VALUE(SUBSTITUTE(SUBSTITUTE(J44,"%","")," ",""))&lt;=0,"Not Started",IF(VALUE(SUBSTITUTE(SUBSTITUTE(J44,"%","")," ",""))&gt;=100,"Completed","In Progress")),"Not Started")</f>
        <v/>
      </c>
      <c r="J44" s="39" t="inlineStr">
        <is>
          <t>50 %</t>
        </is>
      </c>
      <c r="K44" s="39" t="inlineStr">
        <is>
          <t>CRITICAL</t>
        </is>
      </c>
      <c r="L44" s="39" t="inlineStr">
        <is>
          <t xml:space="preserve">  ₹2,000  </t>
        </is>
      </c>
      <c r="M44" s="39">
        <f>IF(H44="","",H44*8)</f>
        <v/>
      </c>
      <c r="N44" s="41">
        <f>IF(OR(L44="",H44=""),"",L44*H44)</f>
        <v/>
      </c>
      <c r="O44" s="39" t="inlineStr">
        <is>
          <t>—</t>
        </is>
      </c>
    </row>
    <row r="45" ht="15" customHeight="1" s="203">
      <c r="A45" s="42" t="n">
        <v>42</v>
      </c>
      <c r="B45" s="43" t="inlineStr">
        <is>
          <t>Trim Extra Spaces — Customer Name Import</t>
        </is>
      </c>
      <c r="C45" s="42" t="inlineStr">
        <is>
          <t>PHASE 2</t>
        </is>
      </c>
      <c r="D45" s="42" t="inlineStr">
        <is>
          <t>Lakshmi Nair</t>
        </is>
      </c>
      <c r="E45" s="42" t="inlineStr">
        <is>
          <t>Business Intel.</t>
        </is>
      </c>
      <c r="F45" s="42" t="inlineStr">
        <is>
          <t>01-05-2024</t>
        </is>
      </c>
      <c r="G45" s="42" t="n"/>
      <c r="H45" s="42">
        <f>IF(OR(F45="",G45=""),"",G45-F45)</f>
        <v/>
      </c>
      <c r="I45" s="42">
        <f>IFERROR(IF(VALUE(SUBSTITUTE(SUBSTITUTE(J45,"%","")," ",""))&lt;=0,"Not Started",IF(VALUE(SUBSTITUTE(SUBSTITUTE(J45,"%","")," ",""))&gt;=100,"Completed","In Progress")),"Not Started")</f>
        <v/>
      </c>
      <c r="J45" s="42" t="inlineStr">
        <is>
          <t>25%</t>
        </is>
      </c>
      <c r="K45" s="42" t="inlineStr">
        <is>
          <t>LOW</t>
        </is>
      </c>
      <c r="L45" s="42" t="inlineStr">
        <is>
          <t>INR 5,500</t>
        </is>
      </c>
      <c r="M45" s="42">
        <f>IF(H45="","",H45*8)</f>
        <v/>
      </c>
      <c r="N45" s="44">
        <f>IF(OR(L45="",H45=""),"",L45*H45)</f>
        <v/>
      </c>
      <c r="O45" s="42" t="inlineStr">
        <is>
          <t>Minor inconsistency</t>
        </is>
      </c>
    </row>
    <row r="46" ht="15" customHeight="1" s="203">
      <c r="A46" s="39" t="n">
        <v>43</v>
      </c>
      <c r="B46" s="40" t="inlineStr">
        <is>
          <t>Standardize Text Case — Region Codes</t>
        </is>
      </c>
      <c r="C46" s="39" t="inlineStr">
        <is>
          <t>PHASE 3</t>
        </is>
      </c>
      <c r="D46" s="39" t="inlineStr">
        <is>
          <t>ROHIT GUPTA</t>
        </is>
      </c>
      <c r="E46" s="39" t="inlineStr">
        <is>
          <t>data platform</t>
        </is>
      </c>
      <c r="F46" s="39" t="inlineStr">
        <is>
          <t>2024-01-09</t>
        </is>
      </c>
      <c r="G46" s="39" t="n"/>
      <c r="H46" s="39">
        <f>IF(OR(F46="",G46=""),"",G46-F46)</f>
        <v/>
      </c>
      <c r="I46" s="39">
        <f>IFERROR(IF(VALUE(SUBSTITUTE(SUBSTITUTE(J46,"%","")," ",""))&lt;=0,"Not Started",IF(VALUE(SUBSTITUTE(SUBSTITUTE(J46,"%","")," ",""))&gt;=100,"Completed","In Progress")),"Not Started")</f>
        <v/>
      </c>
      <c r="J46" s="39" t="inlineStr">
        <is>
          <t>40%</t>
        </is>
      </c>
      <c r="K46" s="39" t="inlineStr">
        <is>
          <t>High</t>
        </is>
      </c>
      <c r="L46" s="39" t="inlineStr">
        <is>
          <t>3000</t>
        </is>
      </c>
      <c r="M46" s="39">
        <f>IF(H46="","",H46*8)</f>
        <v/>
      </c>
      <c r="N46" s="41">
        <f>IF(OR(L46="",H46=""),"",L46*H46)</f>
        <v/>
      </c>
      <c r="O46" s="39" t="inlineStr">
        <is>
          <t>—</t>
        </is>
      </c>
    </row>
    <row r="47" ht="15" customHeight="1" s="203">
      <c r="A47" s="42" t="n">
        <v>44</v>
      </c>
      <c r="B47" s="43" t="inlineStr">
        <is>
          <t>Fix Date Formats — Legacy System Dates</t>
        </is>
      </c>
      <c r="C47" s="42" t="inlineStr">
        <is>
          <t>PHASE 4</t>
        </is>
      </c>
      <c r="D47" s="42" t="inlineStr">
        <is>
          <t>amit roy</t>
        </is>
      </c>
      <c r="E47" s="42" t="inlineStr">
        <is>
          <t>quality assur.</t>
        </is>
      </c>
      <c r="F47" s="42" t="inlineStr">
        <is>
          <t>02/16/2024</t>
        </is>
      </c>
      <c r="G47" s="42" t="n"/>
      <c r="H47" s="42">
        <f>IF(OR(F47="",G47=""),"",G47-F47)</f>
        <v/>
      </c>
      <c r="I47" s="42">
        <f>IFERROR(IF(VALUE(SUBSTITUTE(SUBSTITUTE(J47,"%","")," ",""))&lt;=0,"Not Started",IF(VALUE(SUBSTITUTE(SUBSTITUTE(J47,"%","")," ",""))&gt;=100,"Completed","In Progress")),"Not Started")</f>
        <v/>
      </c>
      <c r="J47" s="42" t="inlineStr">
        <is>
          <t>0</t>
        </is>
      </c>
      <c r="K47" s="42" t="inlineStr">
        <is>
          <t>LOW</t>
        </is>
      </c>
      <c r="L47" s="42" t="inlineStr">
        <is>
          <t>Rs. 4,000</t>
        </is>
      </c>
      <c r="M47" s="42">
        <f>IF(H47="","",H47*8)</f>
        <v/>
      </c>
      <c r="N47" s="44">
        <f>IF(OR(L47="",H47=""),"",L47*H47)</f>
        <v/>
      </c>
      <c r="O47" s="42" t="inlineStr">
        <is>
          <t>Needs validation</t>
        </is>
      </c>
    </row>
    <row r="48" ht="15" customHeight="1" s="203">
      <c r="A48" s="39" t="n">
        <v>45</v>
      </c>
      <c r="B48" s="40" t="inlineStr">
        <is>
          <t>Handle Missing Values — Customer Database</t>
        </is>
      </c>
      <c r="C48" s="39" t="inlineStr">
        <is>
          <t>PHASE1</t>
        </is>
      </c>
      <c r="D48" s="39" t="inlineStr">
        <is>
          <t>SUNITA VERMA</t>
        </is>
      </c>
      <c r="E48" s="39" t="inlineStr">
        <is>
          <t>pmo</t>
        </is>
      </c>
      <c r="F48" s="39" t="inlineStr">
        <is>
          <t>06-04-2024</t>
        </is>
      </c>
      <c r="G48" s="39" t="n"/>
      <c r="H48" s="39">
        <f>IF(OR(F48="",G48=""),"",G48-F48)</f>
        <v/>
      </c>
      <c r="I48" s="39">
        <f>IFERROR(IF(VALUE(SUBSTITUTE(SUBSTITUTE(J48,"%","")," ",""))&lt;=0,"Not Started",IF(VALUE(SUBSTITUTE(SUBSTITUTE(J48,"%","")," ",""))&gt;=100,"Completed","In Progress")),"Not Started")</f>
        <v/>
      </c>
      <c r="J48" s="39" t="inlineStr">
        <is>
          <t>100%</t>
        </is>
      </c>
      <c r="K48" s="39" t="inlineStr">
        <is>
          <t>Low</t>
        </is>
      </c>
      <c r="L48" s="39" t="inlineStr">
        <is>
          <t>₹4200</t>
        </is>
      </c>
      <c r="M48" s="39">
        <f>IF(H48="","",H48*8)</f>
        <v/>
      </c>
      <c r="N48" s="41">
        <f>IF(OR(L48="",H48=""),"",L48*H48)</f>
        <v/>
      </c>
      <c r="O48" s="39" t="inlineStr">
        <is>
          <t>Re-run TRIM</t>
        </is>
      </c>
    </row>
    <row r="49" ht="15" customHeight="1" s="203">
      <c r="A49" s="42" t="n">
        <v>46</v>
      </c>
      <c r="B49" s="43" t="inlineStr">
        <is>
          <t>Split Combined Columns — Contact Database</t>
        </is>
      </c>
      <c r="C49" s="42" t="inlineStr">
        <is>
          <t>Phase 2</t>
        </is>
      </c>
      <c r="D49" s="42" t="inlineStr">
        <is>
          <t>Vikram Nair</t>
        </is>
      </c>
      <c r="E49" s="42" t="inlineStr">
        <is>
          <t>BI &amp; Analytics</t>
        </is>
      </c>
      <c r="F49" s="42" t="inlineStr">
        <is>
          <t>2024-05-17</t>
        </is>
      </c>
      <c r="G49" s="42" t="n"/>
      <c r="H49" s="42">
        <f>IF(OR(F49="",G49=""),"",G49-F49)</f>
        <v/>
      </c>
      <c r="I49" s="42">
        <f>IFERROR(IF(VALUE(SUBSTITUTE(SUBSTITUTE(J49,"%","")," ",""))&lt;=0,"Not Started",IF(VALUE(SUBSTITUTE(SUBSTITUTE(J49,"%","")," ",""))&gt;=100,"Completed","In Progress")),"Not Started")</f>
        <v/>
      </c>
      <c r="J49" s="42" t="inlineStr">
        <is>
          <t>25 %</t>
        </is>
      </c>
      <c r="K49" s="42" t="inlineStr">
        <is>
          <t>LOW</t>
        </is>
      </c>
      <c r="L49" s="42" t="inlineStr">
        <is>
          <t xml:space="preserve">  ₹2,000  </t>
        </is>
      </c>
      <c r="M49" s="42">
        <f>IF(H49="","",H49*8)</f>
        <v/>
      </c>
      <c r="N49" s="44">
        <f>IF(OR(L49="",H49=""),"",L49*H49)</f>
        <v/>
      </c>
      <c r="O49" s="42" t="inlineStr">
        <is>
          <t>Minor inconsistency</t>
        </is>
      </c>
    </row>
    <row r="50" ht="15" customHeight="1" s="203">
      <c r="A50" s="39" t="n">
        <v>47</v>
      </c>
      <c r="B50" s="40" t="inlineStr">
        <is>
          <t>Remove Non-Numeric Chars — Revenue Data</t>
        </is>
      </c>
      <c r="C50" s="39" t="inlineStr">
        <is>
          <t>PHASE 3</t>
        </is>
      </c>
      <c r="D50" s="39" t="inlineStr">
        <is>
          <t>RAHUL MEHTA</t>
        </is>
      </c>
      <c r="E50" s="39" t="inlineStr">
        <is>
          <t>BUSINESS INTEL.</t>
        </is>
      </c>
      <c r="F50" s="39" t="inlineStr">
        <is>
          <t>01/25/2024</t>
        </is>
      </c>
      <c r="G50" s="39" t="n"/>
      <c r="H50" s="39">
        <f>IF(OR(F50="",G50=""),"",G50-F50)</f>
        <v/>
      </c>
      <c r="I50" s="39">
        <f>IFERROR(IF(VALUE(SUBSTITUTE(SUBSTITUTE(J50,"%","")," ",""))&lt;=0,"Not Started",IF(VALUE(SUBSTITUTE(SUBSTITUTE(J50,"%","")," ",""))&gt;=100,"Completed","In Progress")),"Not Started")</f>
        <v/>
      </c>
      <c r="J50" s="39" t="inlineStr">
        <is>
          <t>100.00%</t>
        </is>
      </c>
      <c r="K50" s="39" t="inlineStr">
        <is>
          <t>medium</t>
        </is>
      </c>
      <c r="L50" s="39" t="inlineStr">
        <is>
          <t>Rs. 3,500</t>
        </is>
      </c>
      <c r="M50" s="39">
        <f>IF(H50="","",H50*8)</f>
        <v/>
      </c>
      <c r="N50" s="41">
        <f>IF(OR(L50="",H50=""),"",L50*H50)</f>
        <v/>
      </c>
      <c r="O50" s="39" t="inlineStr">
        <is>
          <t>Extra spaces detected</t>
        </is>
      </c>
    </row>
    <row r="51" ht="15" customHeight="1" s="203">
      <c r="A51" s="42" t="n">
        <v>48</v>
      </c>
      <c r="B51" s="43" t="inlineStr">
        <is>
          <t>Validate Data Ranges — HR Age Dataset</t>
        </is>
      </c>
      <c r="C51" s="42" t="inlineStr">
        <is>
          <t>PHASE 4</t>
        </is>
      </c>
      <c r="D51" s="42" t="inlineStr">
        <is>
          <t>Amit Roy</t>
        </is>
      </c>
      <c r="E51" s="42" t="inlineStr">
        <is>
          <t>Data Platform</t>
        </is>
      </c>
      <c r="F51" s="42" t="inlineStr">
        <is>
          <t>02/12/2024</t>
        </is>
      </c>
      <c r="G51" s="42" t="n"/>
      <c r="H51" s="42">
        <f>IF(OR(F51="",G51=""),"",G51-F51)</f>
        <v/>
      </c>
      <c r="I51" s="42">
        <f>IFERROR(IF(VALUE(SUBSTITUTE(SUBSTITUTE(J51,"%","")," ",""))&lt;=0,"Not Started",IF(VALUE(SUBSTITUTE(SUBSTITUTE(J51,"%","")," ",""))&gt;=100,"Completed","In Progress")),"Not Started")</f>
        <v/>
      </c>
      <c r="J51" s="42" t="inlineStr">
        <is>
          <t>25.00%</t>
        </is>
      </c>
      <c r="K51" s="42" t="inlineStr">
        <is>
          <t>medium</t>
        </is>
      </c>
      <c r="L51" s="42" t="inlineStr">
        <is>
          <t>Rs.5000</t>
        </is>
      </c>
      <c r="M51" s="42">
        <f>IF(H51="","",H51*8)</f>
        <v/>
      </c>
      <c r="N51" s="44">
        <f>IF(OR(L51="",H51=""),"",L51*H51)</f>
        <v/>
      </c>
      <c r="O51" s="42" t="inlineStr">
        <is>
          <t>Awaiting sign-off</t>
        </is>
      </c>
    </row>
    <row r="52" ht="15" customHeight="1" s="203">
      <c r="A52" s="39" t="n">
        <v>49</v>
      </c>
      <c r="B52" s="40" t="inlineStr">
        <is>
          <t>Standardize Category Labels — Product SKU</t>
        </is>
      </c>
      <c r="C52" s="39" t="inlineStr">
        <is>
          <t>PHASE1</t>
        </is>
      </c>
      <c r="D52" s="39" t="inlineStr">
        <is>
          <t>ARJUN PILLAI</t>
        </is>
      </c>
      <c r="E52" s="39" t="inlineStr">
        <is>
          <t>QUALITY ASSUR.</t>
        </is>
      </c>
      <c r="F52" s="39" t="inlineStr">
        <is>
          <t>2024-03-25</t>
        </is>
      </c>
      <c r="G52" s="39" t="n"/>
      <c r="H52" s="39">
        <f>IF(OR(F52="",G52=""),"",G52-F52)</f>
        <v/>
      </c>
      <c r="I52" s="39">
        <f>IFERROR(IF(VALUE(SUBSTITUTE(SUBSTITUTE(J52,"%","")," ",""))&lt;=0,"Not Started",IF(VALUE(SUBSTITUTE(SUBSTITUTE(J52,"%","")," ",""))&gt;=100,"Completed","In Progress")),"Not Started")</f>
        <v/>
      </c>
      <c r="J52" s="39" t="inlineStr">
        <is>
          <t>25 %</t>
        </is>
      </c>
      <c r="K52" s="39" t="inlineStr">
        <is>
          <t>MEDIUM</t>
        </is>
      </c>
      <c r="L52" s="39" t="inlineStr">
        <is>
          <t>INR 5,500</t>
        </is>
      </c>
      <c r="M52" s="39">
        <f>IF(H52="","",H52*8)</f>
        <v/>
      </c>
      <c r="N52" s="41">
        <f>IF(OR(L52="",H52=""),"",L52*H52)</f>
        <v/>
      </c>
      <c r="O52" s="39" t="inlineStr">
        <is>
          <t>Extra spaces detected</t>
        </is>
      </c>
    </row>
    <row r="53" ht="15" customHeight="1" s="203">
      <c r="A53" s="42" t="n">
        <v>50</v>
      </c>
      <c r="B53" s="43" t="inlineStr">
        <is>
          <t>Combine &amp; Reconcile Columns — Address</t>
        </is>
      </c>
      <c r="C53" s="42" t="inlineStr">
        <is>
          <t>phase 2</t>
        </is>
      </c>
      <c r="D53" s="42" t="inlineStr">
        <is>
          <t xml:space="preserve">  Arjun Pillai  </t>
        </is>
      </c>
      <c r="E53" s="42" t="inlineStr">
        <is>
          <t>PMO</t>
        </is>
      </c>
      <c r="F53" s="42" t="inlineStr">
        <is>
          <t>17-01-2024</t>
        </is>
      </c>
      <c r="G53" s="42" t="n"/>
      <c r="H53" s="42">
        <f>IF(OR(F53="",G53=""),"",G53-F53)</f>
        <v/>
      </c>
      <c r="I53" s="42">
        <f>IFERROR(IF(VALUE(SUBSTITUTE(SUBSTITUTE(J53,"%","")," ",""))&lt;=0,"Not Started",IF(VALUE(SUBSTITUTE(SUBSTITUTE(J53,"%","")," ",""))&gt;=100,"Completed","In Progress")),"Not Started")</f>
        <v/>
      </c>
      <c r="J53" s="42" t="inlineStr">
        <is>
          <t>75.00%</t>
        </is>
      </c>
      <c r="K53" s="42" t="inlineStr">
        <is>
          <t>high</t>
        </is>
      </c>
      <c r="L53" s="42" t="inlineStr">
        <is>
          <t xml:space="preserve">  ₹2,000  </t>
        </is>
      </c>
      <c r="M53" s="42">
        <f>IF(H53="","",H53*8)</f>
        <v/>
      </c>
      <c r="N53" s="44">
        <f>IF(OR(L53="",H53=""),"",L53*H53)</f>
        <v/>
      </c>
      <c r="O53" s="42" t="inlineStr">
        <is>
          <t>Minor inconsistency</t>
        </is>
      </c>
    </row>
    <row r="54" ht="15" customHeight="1" s="203">
      <c r="A54" s="39" t="n">
        <v>51</v>
      </c>
      <c r="B54" s="40" t="inlineStr">
        <is>
          <t>Remove Duplicates — CRM Export Cleaning</t>
        </is>
      </c>
      <c r="C54" s="39" t="inlineStr">
        <is>
          <t>PHASE3</t>
        </is>
      </c>
      <c r="D54" s="39" t="inlineStr">
        <is>
          <t>Deepa Krishnan</t>
        </is>
      </c>
      <c r="E54" s="39" t="inlineStr">
        <is>
          <t>bi &amp; analytics</t>
        </is>
      </c>
      <c r="F54" s="39" t="inlineStr">
        <is>
          <t>05/15/2024</t>
        </is>
      </c>
      <c r="G54" s="39" t="n"/>
      <c r="H54" s="39">
        <f>IF(OR(F54="",G54=""),"",G54-F54)</f>
        <v/>
      </c>
      <c r="I54" s="39">
        <f>IFERROR(IF(VALUE(SUBSTITUTE(SUBSTITUTE(J54,"%","")," ",""))&lt;=0,"Not Started",IF(VALUE(SUBSTITUTE(SUBSTITUTE(J54,"%","")," ",""))&gt;=100,"Completed","In Progress")),"Not Started")</f>
        <v/>
      </c>
      <c r="J54" s="39" t="inlineStr">
        <is>
          <t>40</t>
        </is>
      </c>
      <c r="K54" s="39" t="inlineStr">
        <is>
          <t>Critical</t>
        </is>
      </c>
      <c r="L54" s="39" t="inlineStr">
        <is>
          <t>3000</t>
        </is>
      </c>
      <c r="M54" s="39">
        <f>IF(H54="","",H54*8)</f>
        <v/>
      </c>
      <c r="N54" s="41">
        <f>IF(OR(L54="",H54=""),"",L54*H54)</f>
        <v/>
      </c>
      <c r="O54" s="39" t="inlineStr">
        <is>
          <t>Needs validation</t>
        </is>
      </c>
    </row>
    <row r="55" ht="15" customHeight="1" s="203">
      <c r="A55" s="42" t="n">
        <v>52</v>
      </c>
      <c r="B55" s="43" t="inlineStr">
        <is>
          <t>Trim Extra Spaces — Customer Name Import</t>
        </is>
      </c>
      <c r="C55" s="42" t="inlineStr">
        <is>
          <t>PHASE4</t>
        </is>
      </c>
      <c r="D55" s="42" t="inlineStr">
        <is>
          <t>Neha Joshi</t>
        </is>
      </c>
      <c r="E55" s="42" t="inlineStr">
        <is>
          <t>BUSINESS INTEL.</t>
        </is>
      </c>
      <c r="F55" s="42" t="inlineStr">
        <is>
          <t>2024-01-09</t>
        </is>
      </c>
      <c r="G55" s="42" t="n"/>
      <c r="H55" s="42">
        <f>IF(OR(F55="",G55=""),"",G55-F55)</f>
        <v/>
      </c>
      <c r="I55" s="42">
        <f>IFERROR(IF(VALUE(SUBSTITUTE(SUBSTITUTE(J55,"%","")," ",""))&lt;=0,"Not Started",IF(VALUE(SUBSTITUTE(SUBSTITUTE(J55,"%","")," ",""))&gt;=100,"Completed","In Progress")),"Not Started")</f>
        <v/>
      </c>
      <c r="J55" s="42" t="inlineStr">
        <is>
          <t>0%</t>
        </is>
      </c>
      <c r="K55" s="42" t="inlineStr">
        <is>
          <t>MEDIUM</t>
        </is>
      </c>
      <c r="L55" s="42" t="inlineStr">
        <is>
          <t>₹4200</t>
        </is>
      </c>
      <c r="M55" s="42">
        <f>IF(H55="","",H55*8)</f>
        <v/>
      </c>
      <c r="N55" s="44">
        <f>IF(OR(L55="",H55=""),"",L55*H55)</f>
        <v/>
      </c>
      <c r="O55" s="42" t="inlineStr">
        <is>
          <t>—</t>
        </is>
      </c>
    </row>
    <row r="56" ht="15" customHeight="1" s="203">
      <c r="A56" s="39" t="n">
        <v>53</v>
      </c>
      <c r="B56" s="40" t="inlineStr">
        <is>
          <t>Standardize Text Case — Region Codes</t>
        </is>
      </c>
      <c r="C56" s="39" t="inlineStr">
        <is>
          <t>PHASE1</t>
        </is>
      </c>
      <c r="D56" s="39" t="inlineStr">
        <is>
          <t>MEERA PILLAI</t>
        </is>
      </c>
      <c r="E56" s="39" t="inlineStr">
        <is>
          <t>Data Platform</t>
        </is>
      </c>
      <c r="F56" s="39" t="inlineStr">
        <is>
          <t>03/19/2024</t>
        </is>
      </c>
      <c r="G56" s="39" t="n"/>
      <c r="H56" s="39">
        <f>IF(OR(F56="",G56=""),"",G56-F56)</f>
        <v/>
      </c>
      <c r="I56" s="39">
        <f>IFERROR(IF(VALUE(SUBSTITUTE(SUBSTITUTE(J56,"%","")," ",""))&lt;=0,"Not Started",IF(VALUE(SUBSTITUTE(SUBSTITUTE(J56,"%","")," ",""))&gt;=100,"Completed","In Progress")),"Not Started")</f>
        <v/>
      </c>
      <c r="J56" s="39" t="inlineStr">
        <is>
          <t>40.00%</t>
        </is>
      </c>
      <c r="K56" s="39" t="inlineStr">
        <is>
          <t>low</t>
        </is>
      </c>
      <c r="L56" s="39" t="inlineStr">
        <is>
          <t xml:space="preserve">  ₹2,000  </t>
        </is>
      </c>
      <c r="M56" s="39">
        <f>IF(H56="","",H56*8)</f>
        <v/>
      </c>
      <c r="N56" s="41">
        <f>IF(OR(L56="",H56=""),"",L56*H56)</f>
        <v/>
      </c>
      <c r="O56" s="39" t="inlineStr">
        <is>
          <t>—</t>
        </is>
      </c>
    </row>
    <row r="57" ht="15" customHeight="1" s="203">
      <c r="A57" s="42" t="n">
        <v>54</v>
      </c>
      <c r="B57" s="43" t="inlineStr">
        <is>
          <t>Fix Date Formats — Legacy System Dates</t>
        </is>
      </c>
      <c r="C57" s="42" t="inlineStr">
        <is>
          <t>Phase 2</t>
        </is>
      </c>
      <c r="D57" s="42" t="inlineStr">
        <is>
          <t>Pooja Iyer</t>
        </is>
      </c>
      <c r="E57" s="42" t="inlineStr">
        <is>
          <t>quality assur.</t>
        </is>
      </c>
      <c r="F57" s="42" t="inlineStr">
        <is>
          <t>07-03-2024</t>
        </is>
      </c>
      <c r="G57" s="42" t="n"/>
      <c r="H57" s="42">
        <f>IF(OR(F57="",G57=""),"",G57-F57)</f>
        <v/>
      </c>
      <c r="I57" s="42">
        <f>IFERROR(IF(VALUE(SUBSTITUTE(SUBSTITUTE(J57,"%","")," ",""))&lt;=0,"Not Started",IF(VALUE(SUBSTITUTE(SUBSTITUTE(J57,"%","")," ",""))&gt;=100,"Completed","In Progress")),"Not Started")</f>
        <v/>
      </c>
      <c r="J57" s="42" t="inlineStr">
        <is>
          <t>65.00%</t>
        </is>
      </c>
      <c r="K57" s="42" t="inlineStr">
        <is>
          <t>CRITICAL</t>
        </is>
      </c>
      <c r="L57" s="42" t="inlineStr">
        <is>
          <t>3000</t>
        </is>
      </c>
      <c r="M57" s="42">
        <f>IF(H57="","",H57*8)</f>
        <v/>
      </c>
      <c r="N57" s="44">
        <f>IF(OR(L57="",H57=""),"",L57*H57)</f>
        <v/>
      </c>
      <c r="O57" s="42" t="inlineStr">
        <is>
          <t>Pending review</t>
        </is>
      </c>
    </row>
    <row r="58" ht="15" customHeight="1" s="203">
      <c r="A58" s="39" t="n">
        <v>55</v>
      </c>
      <c r="B58" s="40" t="inlineStr">
        <is>
          <t>Handle Missing Values — Customer Database</t>
        </is>
      </c>
      <c r="C58" s="39" t="inlineStr">
        <is>
          <t>phase 3</t>
        </is>
      </c>
      <c r="D58" s="39" t="inlineStr">
        <is>
          <t>ananya singh</t>
        </is>
      </c>
      <c r="E58" s="39" t="inlineStr">
        <is>
          <t>pmo</t>
        </is>
      </c>
      <c r="F58" s="39" t="inlineStr">
        <is>
          <t>2024-04-02</t>
        </is>
      </c>
      <c r="G58" s="39" t="n"/>
      <c r="H58" s="39">
        <f>IF(OR(F58="",G58=""),"",G58-F58)</f>
        <v/>
      </c>
      <c r="I58" s="39">
        <f>IFERROR(IF(VALUE(SUBSTITUTE(SUBSTITUTE(J58,"%","")," ",""))&lt;=0,"Not Started",IF(VALUE(SUBSTITUTE(SUBSTITUTE(J58,"%","")," ",""))&gt;=100,"Completed","In Progress")),"Not Started")</f>
        <v/>
      </c>
      <c r="J58" s="39" t="inlineStr">
        <is>
          <t>100%</t>
        </is>
      </c>
      <c r="K58" s="39" t="inlineStr">
        <is>
          <t>low</t>
        </is>
      </c>
      <c r="L58" s="39" t="inlineStr">
        <is>
          <t xml:space="preserve">  ₹2,000  </t>
        </is>
      </c>
      <c r="M58" s="39">
        <f>IF(H58="","",H58*8)</f>
        <v/>
      </c>
      <c r="N58" s="41">
        <f>IF(OR(L58="",H58=""),"",L58*H58)</f>
        <v/>
      </c>
      <c r="O58" s="39" t="inlineStr">
        <is>
          <t>Pending review</t>
        </is>
      </c>
    </row>
    <row r="59" ht="15" customHeight="1" s="203">
      <c r="A59" s="42" t="n">
        <v>56</v>
      </c>
      <c r="B59" s="43" t="inlineStr">
        <is>
          <t>Split Combined Columns — Contact Database</t>
        </is>
      </c>
      <c r="C59" s="42" t="inlineStr">
        <is>
          <t>PHASE4</t>
        </is>
      </c>
      <c r="D59" s="42" t="inlineStr">
        <is>
          <t>siddharth rao</t>
        </is>
      </c>
      <c r="E59" s="42" t="inlineStr">
        <is>
          <t>BI &amp; ANALYTICS</t>
        </is>
      </c>
      <c r="F59" s="42" t="inlineStr">
        <is>
          <t>17-01-2024</t>
        </is>
      </c>
      <c r="G59" s="42" t="n"/>
      <c r="H59" s="42">
        <f>IF(OR(F59="",G59=""),"",G59-F59)</f>
        <v/>
      </c>
      <c r="I59" s="42">
        <f>IFERROR(IF(VALUE(SUBSTITUTE(SUBSTITUTE(J59,"%","")," ",""))&lt;=0,"Not Started",IF(VALUE(SUBSTITUTE(SUBSTITUTE(J59,"%","")," ",""))&gt;=100,"Completed","In Progress")),"Not Started")</f>
        <v/>
      </c>
      <c r="J59" s="42" t="inlineStr">
        <is>
          <t>0 %</t>
        </is>
      </c>
      <c r="K59" s="42" t="inlineStr">
        <is>
          <t>High</t>
        </is>
      </c>
      <c r="L59" s="42" t="inlineStr">
        <is>
          <t>₹4200</t>
        </is>
      </c>
      <c r="M59" s="42">
        <f>IF(H59="","",H59*8)</f>
        <v/>
      </c>
      <c r="N59" s="44">
        <f>IF(OR(L59="",H59=""),"",L59*H59)</f>
        <v/>
      </c>
      <c r="O59" s="42" t="inlineStr">
        <is>
          <t>Verified OK</t>
        </is>
      </c>
    </row>
    <row r="60" ht="15" customHeight="1" s="203">
      <c r="A60" s="39" t="n">
        <v>57</v>
      </c>
      <c r="B60" s="40" t="inlineStr">
        <is>
          <t>Remove Non-Numeric Chars — Revenue Data</t>
        </is>
      </c>
      <c r="C60" s="39" t="inlineStr">
        <is>
          <t>Phase 1</t>
        </is>
      </c>
      <c r="D60" s="39" t="inlineStr">
        <is>
          <t>meera pillai</t>
        </is>
      </c>
      <c r="E60" s="39" t="inlineStr">
        <is>
          <t>business intel.</t>
        </is>
      </c>
      <c r="F60" s="39" t="inlineStr">
        <is>
          <t>26-06-2024</t>
        </is>
      </c>
      <c r="G60" s="39" t="n"/>
      <c r="H60" s="39">
        <f>IF(OR(F60="",G60=""),"",G60-F60)</f>
        <v/>
      </c>
      <c r="I60" s="39">
        <f>IFERROR(IF(VALUE(SUBSTITUTE(SUBSTITUTE(J60,"%","")," ",""))&lt;=0,"Not Started",IF(VALUE(SUBSTITUTE(SUBSTITUTE(J60,"%","")," ",""))&gt;=100,"Completed","In Progress")),"Not Started")</f>
        <v/>
      </c>
      <c r="J60" s="39" t="inlineStr">
        <is>
          <t>25.00%</t>
        </is>
      </c>
      <c r="K60" s="39" t="inlineStr">
        <is>
          <t>Critical</t>
        </is>
      </c>
      <c r="L60" s="39" t="inlineStr">
        <is>
          <t>₹4200</t>
        </is>
      </c>
      <c r="M60" s="39">
        <f>IF(H60="","",H60*8)</f>
        <v/>
      </c>
      <c r="N60" s="41">
        <f>IF(OR(L60="",H60=""),"",L60*H60)</f>
        <v/>
      </c>
      <c r="O60" s="39" t="inlineStr">
        <is>
          <t>—</t>
        </is>
      </c>
    </row>
    <row r="61" ht="15" customHeight="1" s="203">
      <c r="A61" s="42" t="n">
        <v>58</v>
      </c>
      <c r="B61" s="43" t="inlineStr">
        <is>
          <t>Validate Data Ranges — HR Age Dataset</t>
        </is>
      </c>
      <c r="C61" s="42" t="inlineStr">
        <is>
          <t>Phase 2</t>
        </is>
      </c>
      <c r="D61" s="42" t="inlineStr">
        <is>
          <t>Lakshmi Nair</t>
        </is>
      </c>
      <c r="E61" s="42" t="inlineStr">
        <is>
          <t>data platform</t>
        </is>
      </c>
      <c r="F61" s="42" t="inlineStr">
        <is>
          <t>04/10/2024</t>
        </is>
      </c>
      <c r="G61" s="42" t="n"/>
      <c r="H61" s="42">
        <f>IF(OR(F61="",G61=""),"",G61-F61)</f>
        <v/>
      </c>
      <c r="I61" s="42">
        <f>IFERROR(IF(VALUE(SUBSTITUTE(SUBSTITUTE(J61,"%","")," ",""))&lt;=0,"Not Started",IF(VALUE(SUBSTITUTE(SUBSTITUTE(J61,"%","")," ",""))&gt;=100,"Completed","In Progress")),"Not Started")</f>
        <v/>
      </c>
      <c r="J61" s="42" t="inlineStr">
        <is>
          <t>0</t>
        </is>
      </c>
      <c r="K61" s="42" t="inlineStr">
        <is>
          <t>CRITICAL</t>
        </is>
      </c>
      <c r="L61" s="42" t="inlineStr">
        <is>
          <t>₹4200</t>
        </is>
      </c>
      <c r="M61" s="42">
        <f>IF(H61="","",H61*8)</f>
        <v/>
      </c>
      <c r="N61" s="44">
        <f>IF(OR(L61="",H61=""),"",L61*H61)</f>
        <v/>
      </c>
      <c r="O61" s="42" t="inlineStr">
        <is>
          <t>Check formula</t>
        </is>
      </c>
    </row>
    <row r="62" ht="15" customHeight="1" s="203">
      <c r="A62" s="39" t="n">
        <v>59</v>
      </c>
      <c r="B62" s="40" t="inlineStr">
        <is>
          <t>Standardize Category Labels — Product SKU</t>
        </is>
      </c>
      <c r="C62" s="39" t="inlineStr">
        <is>
          <t>PHASE 3</t>
        </is>
      </c>
      <c r="D62" s="39" t="inlineStr">
        <is>
          <t>Rohit Gupta</t>
        </is>
      </c>
      <c r="E62" s="39" t="inlineStr">
        <is>
          <t>Quality Assur.</t>
        </is>
      </c>
      <c r="F62" s="39" t="inlineStr">
        <is>
          <t>2024-05-17</t>
        </is>
      </c>
      <c r="G62" s="39" t="n"/>
      <c r="H62" s="39">
        <f>IF(OR(F62="",G62=""),"",G62-F62)</f>
        <v/>
      </c>
      <c r="I62" s="39">
        <f>IFERROR(IF(VALUE(SUBSTITUTE(SUBSTITUTE(J62,"%","")," ",""))&lt;=0,"Not Started",IF(VALUE(SUBSTITUTE(SUBSTITUTE(J62,"%","")," ",""))&gt;=100,"Completed","In Progress")),"Not Started")</f>
        <v/>
      </c>
      <c r="J62" s="39" t="inlineStr">
        <is>
          <t>65.00%</t>
        </is>
      </c>
      <c r="K62" s="39" t="inlineStr">
        <is>
          <t>Low</t>
        </is>
      </c>
      <c r="L62" s="39" t="inlineStr">
        <is>
          <t xml:space="preserve">  ₹2,000  </t>
        </is>
      </c>
      <c r="M62" s="39">
        <f>IF(H62="","",H62*8)</f>
        <v/>
      </c>
      <c r="N62" s="41">
        <f>IF(OR(L62="",H62=""),"",L62*H62)</f>
        <v/>
      </c>
      <c r="O62" s="39" t="inlineStr">
        <is>
          <t>Minor inconsistency</t>
        </is>
      </c>
    </row>
    <row r="63" ht="15" customHeight="1" s="203">
      <c r="A63" s="42" t="n">
        <v>60</v>
      </c>
      <c r="B63" s="43" t="inlineStr">
        <is>
          <t>Combine &amp; Reconcile Columns — Address</t>
        </is>
      </c>
      <c r="C63" s="42" t="inlineStr">
        <is>
          <t>phase 4</t>
        </is>
      </c>
      <c r="D63" s="42" t="inlineStr">
        <is>
          <t xml:space="preserve">  Priya Sharma  </t>
        </is>
      </c>
      <c r="E63" s="42" t="inlineStr">
        <is>
          <t>PMO</t>
        </is>
      </c>
      <c r="F63" s="42" t="inlineStr">
        <is>
          <t>2024-02-28</t>
        </is>
      </c>
      <c r="G63" s="42" t="n"/>
      <c r="H63" s="42">
        <f>IF(OR(F63="",G63=""),"",G63-F63)</f>
        <v/>
      </c>
      <c r="I63" s="42">
        <f>IFERROR(IF(VALUE(SUBSTITUTE(SUBSTITUTE(J63,"%","")," ",""))&lt;=0,"Not Started",IF(VALUE(SUBSTITUTE(SUBSTITUTE(J63,"%","")," ",""))&gt;=100,"Completed","In Progress")),"Not Started")</f>
        <v/>
      </c>
      <c r="J63" s="42" t="inlineStr">
        <is>
          <t>0.00%</t>
        </is>
      </c>
      <c r="K63" s="42" t="inlineStr">
        <is>
          <t>Critical</t>
        </is>
      </c>
      <c r="L63" s="42" t="inlineStr">
        <is>
          <t>Rs.5000</t>
        </is>
      </c>
      <c r="M63" s="42">
        <f>IF(H63="","",H63*8)</f>
        <v/>
      </c>
      <c r="N63" s="44">
        <f>IF(OR(L63="",H63=""),"",L63*H63)</f>
        <v/>
      </c>
      <c r="O63" s="42" t="inlineStr">
        <is>
          <t>Verified OK</t>
        </is>
      </c>
    </row>
    <row r="64" ht="15" customHeight="1" s="203">
      <c r="A64" s="39" t="n">
        <v>61</v>
      </c>
      <c r="B64" s="40" t="inlineStr">
        <is>
          <t>Remove Duplicates — CRM Export Cleaning</t>
        </is>
      </c>
      <c r="C64" s="39" t="inlineStr">
        <is>
          <t>PHASE1</t>
        </is>
      </c>
      <c r="D64" s="39" t="inlineStr">
        <is>
          <t>Amit Roy</t>
        </is>
      </c>
      <c r="E64" s="39" t="inlineStr">
        <is>
          <t>BI &amp; Analytics</t>
        </is>
      </c>
      <c r="F64" s="39" t="inlineStr">
        <is>
          <t>18-06-2024</t>
        </is>
      </c>
      <c r="G64" s="39" t="n"/>
      <c r="H64" s="39">
        <f>IF(OR(F64="",G64=""),"",G64-F64)</f>
        <v/>
      </c>
      <c r="I64" s="39">
        <f>IFERROR(IF(VALUE(SUBSTITUTE(SUBSTITUTE(J64,"%","")," ",""))&lt;=0,"Not Started",IF(VALUE(SUBSTITUTE(SUBSTITUTE(J64,"%","")," ",""))&gt;=100,"Completed","In Progress")),"Not Started")</f>
        <v/>
      </c>
      <c r="J64" s="39" t="inlineStr">
        <is>
          <t>40</t>
        </is>
      </c>
      <c r="K64" s="39" t="inlineStr">
        <is>
          <t>critical</t>
        </is>
      </c>
      <c r="L64" s="39" t="inlineStr">
        <is>
          <t xml:space="preserve">  ₹2,000  </t>
        </is>
      </c>
      <c r="M64" s="39">
        <f>IF(H64="","",H64*8)</f>
        <v/>
      </c>
      <c r="N64" s="41">
        <f>IF(OR(L64="",H64=""),"",L64*H64)</f>
        <v/>
      </c>
      <c r="O64" s="39" t="inlineStr">
        <is>
          <t>Pending review</t>
        </is>
      </c>
    </row>
    <row r="65" ht="15" customHeight="1" s="203">
      <c r="A65" s="42" t="n">
        <v>62</v>
      </c>
      <c r="B65" s="43" t="inlineStr">
        <is>
          <t>Trim Extra Spaces — Customer Name Import</t>
        </is>
      </c>
      <c r="C65" s="42" t="inlineStr">
        <is>
          <t>PHASE 2</t>
        </is>
      </c>
      <c r="D65" s="42" t="inlineStr">
        <is>
          <t>AMIT ROY</t>
        </is>
      </c>
      <c r="E65" s="42" t="inlineStr">
        <is>
          <t>business intel.</t>
        </is>
      </c>
      <c r="F65" s="42" t="inlineStr">
        <is>
          <t>2024-05-25</t>
        </is>
      </c>
      <c r="G65" s="42" t="n"/>
      <c r="H65" s="42">
        <f>IF(OR(F65="",G65=""),"",G65-F65)</f>
        <v/>
      </c>
      <c r="I65" s="42">
        <f>IFERROR(IF(VALUE(SUBSTITUTE(SUBSTITUTE(J65,"%","")," ",""))&lt;=0,"Not Started",IF(VALUE(SUBSTITUTE(SUBSTITUTE(J65,"%","")," ",""))&gt;=100,"Completed","In Progress")),"Not Started")</f>
        <v/>
      </c>
      <c r="J65" s="42" t="inlineStr">
        <is>
          <t>75.00%</t>
        </is>
      </c>
      <c r="K65" s="42" t="inlineStr">
        <is>
          <t>High</t>
        </is>
      </c>
      <c r="L65" s="42" t="inlineStr">
        <is>
          <t>3000</t>
        </is>
      </c>
      <c r="M65" s="42">
        <f>IF(H65="","",H65*8)</f>
        <v/>
      </c>
      <c r="N65" s="44">
        <f>IF(OR(L65="",H65=""),"",L65*H65)</f>
        <v/>
      </c>
      <c r="O65" s="42" t="inlineStr">
        <is>
          <t>Needs validation</t>
        </is>
      </c>
    </row>
    <row r="66" ht="15" customHeight="1" s="203">
      <c r="A66" s="39" t="n">
        <v>63</v>
      </c>
      <c r="B66" s="40" t="inlineStr">
        <is>
          <t>Standardize Text Case — Region Codes</t>
        </is>
      </c>
      <c r="C66" s="39" t="inlineStr">
        <is>
          <t>phase 3</t>
        </is>
      </c>
      <c r="D66" s="39" t="inlineStr">
        <is>
          <t>Vikram Nair</t>
        </is>
      </c>
      <c r="E66" s="39" t="inlineStr">
        <is>
          <t>Data Platform</t>
        </is>
      </c>
      <c r="F66" s="39" t="inlineStr">
        <is>
          <t>02/10/2024</t>
        </is>
      </c>
      <c r="G66" s="39" t="n"/>
      <c r="H66" s="39">
        <f>IF(OR(F66="",G66=""),"",G66-F66)</f>
        <v/>
      </c>
      <c r="I66" s="39">
        <f>IFERROR(IF(VALUE(SUBSTITUTE(SUBSTITUTE(J66,"%","")," ",""))&lt;=0,"Not Started",IF(VALUE(SUBSTITUTE(SUBSTITUTE(J66,"%","")," ",""))&gt;=100,"Completed","In Progress")),"Not Started")</f>
        <v/>
      </c>
      <c r="J66" s="39" t="inlineStr">
        <is>
          <t>75 %</t>
        </is>
      </c>
      <c r="K66" s="39" t="inlineStr">
        <is>
          <t>high</t>
        </is>
      </c>
      <c r="L66" s="39" t="inlineStr">
        <is>
          <t>INR 5,500</t>
        </is>
      </c>
      <c r="M66" s="39">
        <f>IF(H66="","",H66*8)</f>
        <v/>
      </c>
      <c r="N66" s="41">
        <f>IF(OR(L66="",H66=""),"",L66*H66)</f>
        <v/>
      </c>
      <c r="O66" s="39" t="inlineStr">
        <is>
          <t>Needs validation</t>
        </is>
      </c>
    </row>
    <row r="67" ht="15" customHeight="1" s="203">
      <c r="A67" s="42" t="n">
        <v>64</v>
      </c>
      <c r="B67" s="43" t="inlineStr">
        <is>
          <t>Fix Date Formats — Legacy System Dates</t>
        </is>
      </c>
      <c r="C67" s="42" t="inlineStr">
        <is>
          <t>Phase 4</t>
        </is>
      </c>
      <c r="D67" s="42" t="inlineStr">
        <is>
          <t>Vikram Nair</t>
        </is>
      </c>
      <c r="E67" s="42" t="inlineStr">
        <is>
          <t>quality assur.</t>
        </is>
      </c>
      <c r="F67" s="42" t="inlineStr">
        <is>
          <t>2024-03-11</t>
        </is>
      </c>
      <c r="G67" s="42" t="n"/>
      <c r="H67" s="42">
        <f>IF(OR(F67="",G67=""),"",G67-F67)</f>
        <v/>
      </c>
      <c r="I67" s="42">
        <f>IFERROR(IF(VALUE(SUBSTITUTE(SUBSTITUTE(J67,"%","")," ",""))&lt;=0,"Not Started",IF(VALUE(SUBSTITUTE(SUBSTITUTE(J67,"%","")," ",""))&gt;=100,"Completed","In Progress")),"Not Started")</f>
        <v/>
      </c>
      <c r="J67" s="42" t="inlineStr">
        <is>
          <t>65%</t>
        </is>
      </c>
      <c r="K67" s="42" t="inlineStr">
        <is>
          <t>High</t>
        </is>
      </c>
      <c r="L67" s="42" t="inlineStr">
        <is>
          <t xml:space="preserve">  ₹2,000  </t>
        </is>
      </c>
      <c r="M67" s="42">
        <f>IF(H67="","",H67*8)</f>
        <v/>
      </c>
      <c r="N67" s="44">
        <f>IF(OR(L67="",H67=""),"",L67*H67)</f>
        <v/>
      </c>
      <c r="O67" s="42" t="inlineStr">
        <is>
          <t>Verified OK</t>
        </is>
      </c>
    </row>
    <row r="68" ht="15" customHeight="1" s="203">
      <c r="A68" s="39" t="n">
        <v>65</v>
      </c>
      <c r="B68" s="40" t="inlineStr">
        <is>
          <t>Handle Missing Values — Customer Database</t>
        </is>
      </c>
      <c r="C68" s="39" t="inlineStr">
        <is>
          <t>phase 1</t>
        </is>
      </c>
      <c r="D68" s="39" t="inlineStr">
        <is>
          <t>vikram nair</t>
        </is>
      </c>
      <c r="E68" s="39" t="inlineStr">
        <is>
          <t>PMO</t>
        </is>
      </c>
      <c r="F68" s="39" t="inlineStr">
        <is>
          <t>02-02-2024</t>
        </is>
      </c>
      <c r="G68" s="39" t="n"/>
      <c r="H68" s="39">
        <f>IF(OR(F68="",G68=""),"",G68-F68)</f>
        <v/>
      </c>
      <c r="I68" s="39">
        <f>IFERROR(IF(VALUE(SUBSTITUTE(SUBSTITUTE(J68,"%","")," ",""))&lt;=0,"Not Started",IF(VALUE(SUBSTITUTE(SUBSTITUTE(J68,"%","")," ",""))&gt;=100,"Completed","In Progress")),"Not Started")</f>
        <v/>
      </c>
      <c r="J68" s="39" t="inlineStr">
        <is>
          <t>25%</t>
        </is>
      </c>
      <c r="K68" s="39" t="inlineStr">
        <is>
          <t>Critical</t>
        </is>
      </c>
      <c r="L68" s="39" t="inlineStr">
        <is>
          <t>Rs. 4,000</t>
        </is>
      </c>
      <c r="M68" s="39">
        <f>IF(H68="","",H68*8)</f>
        <v/>
      </c>
      <c r="N68" s="41">
        <f>IF(OR(L68="",H68=""),"",L68*H68)</f>
        <v/>
      </c>
      <c r="O68" s="39" t="inlineStr">
        <is>
          <t>Pending review</t>
        </is>
      </c>
    </row>
    <row r="69" ht="15" customHeight="1" s="203">
      <c r="A69" s="42" t="n">
        <v>66</v>
      </c>
      <c r="B69" s="43" t="inlineStr">
        <is>
          <t>Split Combined Columns — Contact Database</t>
        </is>
      </c>
      <c r="C69" s="42" t="inlineStr">
        <is>
          <t>PHASE2</t>
        </is>
      </c>
      <c r="D69" s="42" t="inlineStr">
        <is>
          <t xml:space="preserve">  Neha Joshi  </t>
        </is>
      </c>
      <c r="E69" s="42" t="inlineStr">
        <is>
          <t>bi &amp; analytics</t>
        </is>
      </c>
      <c r="F69" s="42" t="inlineStr">
        <is>
          <t>01/03/2024</t>
        </is>
      </c>
      <c r="G69" s="42" t="n"/>
      <c r="H69" s="42">
        <f>IF(OR(F69="",G69=""),"",G69-F69)</f>
        <v/>
      </c>
      <c r="I69" s="42">
        <f>IFERROR(IF(VALUE(SUBSTITUTE(SUBSTITUTE(J69,"%","")," ",""))&lt;=0,"Not Started",IF(VALUE(SUBSTITUTE(SUBSTITUTE(J69,"%","")," ",""))&gt;=100,"Completed","In Progress")),"Not Started")</f>
        <v/>
      </c>
      <c r="J69" s="42" t="inlineStr">
        <is>
          <t>50 %</t>
        </is>
      </c>
      <c r="K69" s="42" t="inlineStr">
        <is>
          <t>Medium</t>
        </is>
      </c>
      <c r="L69" s="42" t="inlineStr">
        <is>
          <t>3000</t>
        </is>
      </c>
      <c r="M69" s="42">
        <f>IF(H69="","",H69*8)</f>
        <v/>
      </c>
      <c r="N69" s="44">
        <f>IF(OR(L69="",H69=""),"",L69*H69)</f>
        <v/>
      </c>
      <c r="O69" s="42" t="inlineStr">
        <is>
          <t>Flag for QA</t>
        </is>
      </c>
    </row>
    <row r="70" ht="15" customHeight="1" s="203">
      <c r="A70" s="39" t="n">
        <v>67</v>
      </c>
      <c r="B70" s="40" t="inlineStr">
        <is>
          <t>Remove Non-Numeric Chars — Revenue Data</t>
        </is>
      </c>
      <c r="C70" s="39" t="inlineStr">
        <is>
          <t>PHASE3</t>
        </is>
      </c>
      <c r="D70" s="39" t="inlineStr">
        <is>
          <t>Karan Malhotra</t>
        </is>
      </c>
      <c r="E70" s="39" t="inlineStr">
        <is>
          <t>Business Intel.</t>
        </is>
      </c>
      <c r="F70" s="39" t="inlineStr">
        <is>
          <t>2024-02-12</t>
        </is>
      </c>
      <c r="G70" s="39" t="n"/>
      <c r="H70" s="39">
        <f>IF(OR(F70="",G70=""),"",G70-F70)</f>
        <v/>
      </c>
      <c r="I70" s="39">
        <f>IFERROR(IF(VALUE(SUBSTITUTE(SUBSTITUTE(J70,"%","")," ",""))&lt;=0,"Not Started",IF(VALUE(SUBSTITUTE(SUBSTITUTE(J70,"%","")," ",""))&gt;=100,"Completed","In Progress")),"Not Started")</f>
        <v/>
      </c>
      <c r="J70" s="39" t="inlineStr">
        <is>
          <t>75 %</t>
        </is>
      </c>
      <c r="K70" s="39" t="inlineStr">
        <is>
          <t>low</t>
        </is>
      </c>
      <c r="L70" s="39" t="inlineStr">
        <is>
          <t>3000</t>
        </is>
      </c>
      <c r="M70" s="39">
        <f>IF(H70="","",H70*8)</f>
        <v/>
      </c>
      <c r="N70" s="41">
        <f>IF(OR(L70="",H70=""),"",L70*H70)</f>
        <v/>
      </c>
      <c r="O70" s="39" t="inlineStr">
        <is>
          <t>Needs validation</t>
        </is>
      </c>
    </row>
    <row r="71" ht="15" customHeight="1" s="203">
      <c r="A71" s="42" t="n">
        <v>68</v>
      </c>
      <c r="B71" s="43" t="inlineStr">
        <is>
          <t>Validate Data Ranges — HR Age Dataset</t>
        </is>
      </c>
      <c r="C71" s="42" t="inlineStr">
        <is>
          <t>PHASE4</t>
        </is>
      </c>
      <c r="D71" s="42" t="inlineStr">
        <is>
          <t>NEHA JOSHI</t>
        </is>
      </c>
      <c r="E71" s="42" t="inlineStr">
        <is>
          <t>data platform</t>
        </is>
      </c>
      <c r="F71" s="42" t="inlineStr">
        <is>
          <t>2024-05-19</t>
        </is>
      </c>
      <c r="G71" s="42" t="n"/>
      <c r="H71" s="42">
        <f>IF(OR(F71="",G71=""),"",G71-F71)</f>
        <v/>
      </c>
      <c r="I71" s="42">
        <f>IFERROR(IF(VALUE(SUBSTITUTE(SUBSTITUTE(J71,"%","")," ",""))&lt;=0,"Not Started",IF(VALUE(SUBSTITUTE(SUBSTITUTE(J71,"%","")," ",""))&gt;=100,"Completed","In Progress")),"Not Started")</f>
        <v/>
      </c>
      <c r="J71" s="42" t="inlineStr">
        <is>
          <t>75</t>
        </is>
      </c>
      <c r="K71" s="42" t="inlineStr">
        <is>
          <t>Critical</t>
        </is>
      </c>
      <c r="L71" s="42" t="inlineStr">
        <is>
          <t>Rs. 3,500</t>
        </is>
      </c>
      <c r="M71" s="42">
        <f>IF(H71="","",H71*8)</f>
        <v/>
      </c>
      <c r="N71" s="44">
        <f>IF(OR(L71="",H71=""),"",L71*H71)</f>
        <v/>
      </c>
      <c r="O71" s="42" t="inlineStr">
        <is>
          <t>Needs validation</t>
        </is>
      </c>
    </row>
    <row r="72" ht="15" customHeight="1" s="203">
      <c r="A72" s="39" t="n">
        <v>69</v>
      </c>
      <c r="B72" s="40" t="inlineStr">
        <is>
          <t>Standardize Category Labels — Product SKU</t>
        </is>
      </c>
      <c r="C72" s="39" t="inlineStr">
        <is>
          <t>Phase 1</t>
        </is>
      </c>
      <c r="D72" s="39" t="inlineStr">
        <is>
          <t>ANANYA SINGH</t>
        </is>
      </c>
      <c r="E72" s="39" t="inlineStr">
        <is>
          <t>Quality Assur.</t>
        </is>
      </c>
      <c r="F72" s="39" t="inlineStr">
        <is>
          <t>01/21/2024</t>
        </is>
      </c>
      <c r="G72" s="39" t="n"/>
      <c r="H72" s="39">
        <f>IF(OR(F72="",G72=""),"",G72-F72)</f>
        <v/>
      </c>
      <c r="I72" s="39">
        <f>IFERROR(IF(VALUE(SUBSTITUTE(SUBSTITUTE(J72,"%","")," ",""))&lt;=0,"Not Started",IF(VALUE(SUBSTITUTE(SUBSTITUTE(J72,"%","")," ",""))&gt;=100,"Completed","In Progress")),"Not Started")</f>
        <v/>
      </c>
      <c r="J72" s="39" t="inlineStr">
        <is>
          <t>40</t>
        </is>
      </c>
      <c r="K72" s="39" t="inlineStr">
        <is>
          <t>MEDIUM</t>
        </is>
      </c>
      <c r="L72" s="39" t="inlineStr">
        <is>
          <t>Rs. 4,000</t>
        </is>
      </c>
      <c r="M72" s="39">
        <f>IF(H72="","",H72*8)</f>
        <v/>
      </c>
      <c r="N72" s="41">
        <f>IF(OR(L72="",H72=""),"",L72*H72)</f>
        <v/>
      </c>
      <c r="O72" s="39" t="inlineStr">
        <is>
          <t>Needs validation</t>
        </is>
      </c>
    </row>
    <row r="73" ht="15" customHeight="1" s="203">
      <c r="A73" s="42" t="n">
        <v>70</v>
      </c>
      <c r="B73" s="43" t="inlineStr">
        <is>
          <t>Combine &amp; Reconcile Columns — Address</t>
        </is>
      </c>
      <c r="C73" s="42" t="inlineStr">
        <is>
          <t>PHASE2</t>
        </is>
      </c>
      <c r="D73" s="42" t="inlineStr">
        <is>
          <t>ROHIT GUPTA</t>
        </is>
      </c>
      <c r="E73" s="42" t="inlineStr">
        <is>
          <t>PMO</t>
        </is>
      </c>
      <c r="F73" s="42" t="inlineStr">
        <is>
          <t>2024-04-06</t>
        </is>
      </c>
      <c r="G73" s="42" t="n"/>
      <c r="H73" s="42">
        <f>IF(OR(F73="",G73=""),"",G73-F73)</f>
        <v/>
      </c>
      <c r="I73" s="42">
        <f>IFERROR(IF(VALUE(SUBSTITUTE(SUBSTITUTE(J73,"%","")," ",""))&lt;=0,"Not Started",IF(VALUE(SUBSTITUTE(SUBSTITUTE(J73,"%","")," ",""))&gt;=100,"Completed","In Progress")),"Not Started")</f>
        <v/>
      </c>
      <c r="J73" s="42" t="inlineStr">
        <is>
          <t>25</t>
        </is>
      </c>
      <c r="K73" s="42" t="inlineStr">
        <is>
          <t>Low</t>
        </is>
      </c>
      <c r="L73" s="42" t="inlineStr">
        <is>
          <t>Rs. 3,500</t>
        </is>
      </c>
      <c r="M73" s="42">
        <f>IF(H73="","",H73*8)</f>
        <v/>
      </c>
      <c r="N73" s="44">
        <f>IF(OR(L73="",H73=""),"",L73*H73)</f>
        <v/>
      </c>
      <c r="O73" s="42" t="inlineStr">
        <is>
          <t>Re-run TRIM</t>
        </is>
      </c>
    </row>
    <row r="74" ht="15" customHeight="1" s="203">
      <c r="A74" s="39" t="n">
        <v>71</v>
      </c>
      <c r="B74" s="40" t="inlineStr">
        <is>
          <t>Remove Duplicates — CRM Export Cleaning</t>
        </is>
      </c>
      <c r="C74" s="39" t="inlineStr">
        <is>
          <t>phase 3</t>
        </is>
      </c>
      <c r="D74" s="39" t="inlineStr">
        <is>
          <t>ANANYA SINGH</t>
        </is>
      </c>
      <c r="E74" s="39" t="inlineStr">
        <is>
          <t>BI &amp; Analytics</t>
        </is>
      </c>
      <c r="F74" s="39" t="inlineStr">
        <is>
          <t>01/11/2024</t>
        </is>
      </c>
      <c r="G74" s="39" t="n"/>
      <c r="H74" s="39">
        <f>IF(OR(F74="",G74=""),"",G74-F74)</f>
        <v/>
      </c>
      <c r="I74" s="39">
        <f>IFERROR(IF(VALUE(SUBSTITUTE(SUBSTITUTE(J74,"%","")," ",""))&lt;=0,"Not Started",IF(VALUE(SUBSTITUTE(SUBSTITUTE(J74,"%","")," ",""))&gt;=100,"Completed","In Progress")),"Not Started")</f>
        <v/>
      </c>
      <c r="J74" s="39" t="inlineStr">
        <is>
          <t>25 %</t>
        </is>
      </c>
      <c r="K74" s="39" t="inlineStr">
        <is>
          <t>Low</t>
        </is>
      </c>
      <c r="L74" s="39" t="inlineStr">
        <is>
          <t xml:space="preserve">  ₹2,000  </t>
        </is>
      </c>
      <c r="M74" s="39">
        <f>IF(H74="","",H74*8)</f>
        <v/>
      </c>
      <c r="N74" s="41">
        <f>IF(OR(L74="",H74=""),"",L74*H74)</f>
        <v/>
      </c>
      <c r="O74" s="39" t="inlineStr">
        <is>
          <t>—</t>
        </is>
      </c>
    </row>
    <row r="75" ht="15" customHeight="1" s="203">
      <c r="A75" s="42" t="n">
        <v>72</v>
      </c>
      <c r="B75" s="43" t="inlineStr">
        <is>
          <t>Trim Extra Spaces — Customer Name Import</t>
        </is>
      </c>
      <c r="C75" s="42" t="inlineStr">
        <is>
          <t>PHASE4</t>
        </is>
      </c>
      <c r="D75" s="42" t="inlineStr">
        <is>
          <t>rohit gupta</t>
        </is>
      </c>
      <c r="E75" s="42" t="inlineStr">
        <is>
          <t>Business Intel.</t>
        </is>
      </c>
      <c r="F75" s="42" t="inlineStr">
        <is>
          <t>04-04-2024</t>
        </is>
      </c>
      <c r="G75" s="42" t="n"/>
      <c r="H75" s="42">
        <f>IF(OR(F75="",G75=""),"",G75-F75)</f>
        <v/>
      </c>
      <c r="I75" s="42">
        <f>IFERROR(IF(VALUE(SUBSTITUTE(SUBSTITUTE(J75,"%","")," ",""))&lt;=0,"Not Started",IF(VALUE(SUBSTITUTE(SUBSTITUTE(J75,"%","")," ",""))&gt;=100,"Completed","In Progress")),"Not Started")</f>
        <v/>
      </c>
      <c r="J75" s="42" t="inlineStr">
        <is>
          <t>65%</t>
        </is>
      </c>
      <c r="K75" s="42" t="inlineStr">
        <is>
          <t>HIGH</t>
        </is>
      </c>
      <c r="L75" s="42" t="inlineStr">
        <is>
          <t xml:space="preserve">  ₹2,000  </t>
        </is>
      </c>
      <c r="M75" s="42">
        <f>IF(H75="","",H75*8)</f>
        <v/>
      </c>
      <c r="N75" s="44">
        <f>IF(OR(L75="",H75=""),"",L75*H75)</f>
        <v/>
      </c>
      <c r="O75" s="42" t="inlineStr">
        <is>
          <t>Awaiting sign-off</t>
        </is>
      </c>
    </row>
    <row r="76" ht="15" customHeight="1" s="203">
      <c r="A76" s="39" t="n">
        <v>73</v>
      </c>
      <c r="B76" s="40" t="inlineStr">
        <is>
          <t>Standardize Text Case — Region Codes</t>
        </is>
      </c>
      <c r="C76" s="39" t="inlineStr">
        <is>
          <t>PHASE1</t>
        </is>
      </c>
      <c r="D76" s="39" t="inlineStr">
        <is>
          <t>Lakshmi Nair</t>
        </is>
      </c>
      <c r="E76" s="39" t="inlineStr">
        <is>
          <t>DATA PLATFORM</t>
        </is>
      </c>
      <c r="F76" s="39" t="inlineStr">
        <is>
          <t>2024-04-10</t>
        </is>
      </c>
      <c r="G76" s="39" t="n"/>
      <c r="H76" s="39">
        <f>IF(OR(F76="",G76=""),"",G76-F76)</f>
        <v/>
      </c>
      <c r="I76" s="39">
        <f>IFERROR(IF(VALUE(SUBSTITUTE(SUBSTITUTE(J76,"%","")," ",""))&lt;=0,"Not Started",IF(VALUE(SUBSTITUTE(SUBSTITUTE(J76,"%","")," ",""))&gt;=100,"Completed","In Progress")),"Not Started")</f>
        <v/>
      </c>
      <c r="J76" s="39" t="inlineStr">
        <is>
          <t>0.00%</t>
        </is>
      </c>
      <c r="K76" s="39" t="inlineStr">
        <is>
          <t>medium</t>
        </is>
      </c>
      <c r="L76" s="39" t="inlineStr">
        <is>
          <t>₹4200</t>
        </is>
      </c>
      <c r="M76" s="39">
        <f>IF(H76="","",H76*8)</f>
        <v/>
      </c>
      <c r="N76" s="41">
        <f>IF(OR(L76="",H76=""),"",L76*H76)</f>
        <v/>
      </c>
      <c r="O76" s="39" t="inlineStr">
        <is>
          <t>Check formula</t>
        </is>
      </c>
    </row>
    <row r="77" ht="15" customHeight="1" s="203">
      <c r="A77" s="42" t="n">
        <v>74</v>
      </c>
      <c r="B77" s="43" t="inlineStr">
        <is>
          <t>Fix Date Formats — Legacy System Dates</t>
        </is>
      </c>
      <c r="C77" s="42" t="inlineStr">
        <is>
          <t>PHASE2</t>
        </is>
      </c>
      <c r="D77" s="42" t="inlineStr">
        <is>
          <t>Lakshmi Nair</t>
        </is>
      </c>
      <c r="E77" s="42" t="inlineStr">
        <is>
          <t>Quality Assur.</t>
        </is>
      </c>
      <c r="F77" s="42" t="inlineStr">
        <is>
          <t>2024-04-28</t>
        </is>
      </c>
      <c r="G77" s="42" t="n"/>
      <c r="H77" s="42">
        <f>IF(OR(F77="",G77=""),"",G77-F77)</f>
        <v/>
      </c>
      <c r="I77" s="42">
        <f>IFERROR(IF(VALUE(SUBSTITUTE(SUBSTITUTE(J77,"%","")," ",""))&lt;=0,"Not Started",IF(VALUE(SUBSTITUTE(SUBSTITUTE(J77,"%","")," ",""))&gt;=100,"Completed","In Progress")),"Not Started")</f>
        <v/>
      </c>
      <c r="J77" s="42" t="inlineStr">
        <is>
          <t>100%</t>
        </is>
      </c>
      <c r="K77" s="42" t="inlineStr">
        <is>
          <t>medium</t>
        </is>
      </c>
      <c r="L77" s="42" t="inlineStr">
        <is>
          <t>Rs.5000</t>
        </is>
      </c>
      <c r="M77" s="42">
        <f>IF(H77="","",H77*8)</f>
        <v/>
      </c>
      <c r="N77" s="44">
        <f>IF(OR(L77="",H77=""),"",L77*H77)</f>
        <v/>
      </c>
      <c r="O77" s="42" t="inlineStr">
        <is>
          <t>Verified OK</t>
        </is>
      </c>
    </row>
    <row r="78" ht="15" customHeight="1" s="203">
      <c r="A78" s="39" t="n">
        <v>75</v>
      </c>
      <c r="B78" s="40" t="inlineStr">
        <is>
          <t>Handle Missing Values — Customer Database</t>
        </is>
      </c>
      <c r="C78" s="39" t="inlineStr">
        <is>
          <t>phase 3</t>
        </is>
      </c>
      <c r="D78" s="39" t="inlineStr">
        <is>
          <t>Amit Roy</t>
        </is>
      </c>
      <c r="E78" s="39" t="inlineStr">
        <is>
          <t>PMO</t>
        </is>
      </c>
      <c r="F78" s="39" t="inlineStr">
        <is>
          <t>10-02-2024</t>
        </is>
      </c>
      <c r="G78" s="39" t="n"/>
      <c r="H78" s="39">
        <f>IF(OR(F78="",G78=""),"",G78-F78)</f>
        <v/>
      </c>
      <c r="I78" s="39">
        <f>IFERROR(IF(VALUE(SUBSTITUTE(SUBSTITUTE(J78,"%","")," ",""))&lt;=0,"Not Started",IF(VALUE(SUBSTITUTE(SUBSTITUTE(J78,"%","")," ",""))&gt;=100,"Completed","In Progress")),"Not Started")</f>
        <v/>
      </c>
      <c r="J78" s="39" t="inlineStr">
        <is>
          <t>40 %</t>
        </is>
      </c>
      <c r="K78" s="39" t="inlineStr">
        <is>
          <t>Critical</t>
        </is>
      </c>
      <c r="L78" s="39" t="inlineStr">
        <is>
          <t>INR 5,500</t>
        </is>
      </c>
      <c r="M78" s="39">
        <f>IF(H78="","",H78*8)</f>
        <v/>
      </c>
      <c r="N78" s="41">
        <f>IF(OR(L78="",H78=""),"",L78*H78)</f>
        <v/>
      </c>
      <c r="O78" s="39" t="inlineStr">
        <is>
          <t>Flag for QA</t>
        </is>
      </c>
    </row>
    <row r="79" ht="15" customHeight="1" s="203">
      <c r="A79" s="42" t="n">
        <v>76</v>
      </c>
      <c r="B79" s="43" t="inlineStr">
        <is>
          <t>Split Combined Columns — Contact Database</t>
        </is>
      </c>
      <c r="C79" s="42" t="inlineStr">
        <is>
          <t>PHASE4</t>
        </is>
      </c>
      <c r="D79" s="42" t="inlineStr">
        <is>
          <t xml:space="preserve">  Rahul Mehta  </t>
        </is>
      </c>
      <c r="E79" s="42" t="inlineStr">
        <is>
          <t>BI &amp; ANALYTICS</t>
        </is>
      </c>
      <c r="F79" s="42" t="inlineStr">
        <is>
          <t>21-05-2024</t>
        </is>
      </c>
      <c r="G79" s="42" t="n"/>
      <c r="H79" s="42">
        <f>IF(OR(F79="",G79=""),"",G79-F79)</f>
        <v/>
      </c>
      <c r="I79" s="42">
        <f>IFERROR(IF(VALUE(SUBSTITUTE(SUBSTITUTE(J79,"%","")," ",""))&lt;=0,"Not Started",IF(VALUE(SUBSTITUTE(SUBSTITUTE(J79,"%","")," ",""))&gt;=100,"Completed","In Progress")),"Not Started")</f>
        <v/>
      </c>
      <c r="J79" s="42" t="inlineStr">
        <is>
          <t>50</t>
        </is>
      </c>
      <c r="K79" s="42" t="inlineStr">
        <is>
          <t>High</t>
        </is>
      </c>
      <c r="L79" s="42" t="inlineStr">
        <is>
          <t>Rs. 3,500</t>
        </is>
      </c>
      <c r="M79" s="42">
        <f>IF(H79="","",H79*8)</f>
        <v/>
      </c>
      <c r="N79" s="44">
        <f>IF(OR(L79="",H79=""),"",L79*H79)</f>
        <v/>
      </c>
      <c r="O79" s="42" t="inlineStr">
        <is>
          <t>Minor inconsistency</t>
        </is>
      </c>
    </row>
    <row r="80" ht="15" customHeight="1" s="203">
      <c r="A80" s="39" t="n">
        <v>77</v>
      </c>
      <c r="B80" s="40" t="inlineStr">
        <is>
          <t>Remove Non-Numeric Chars — Revenue Data</t>
        </is>
      </c>
      <c r="C80" s="39" t="inlineStr">
        <is>
          <t>Phase 1</t>
        </is>
      </c>
      <c r="D80" s="39" t="inlineStr">
        <is>
          <t>RAHUL MEHTA</t>
        </is>
      </c>
      <c r="E80" s="39" t="inlineStr">
        <is>
          <t>BUSINESS INTEL.</t>
        </is>
      </c>
      <c r="F80" s="39" t="inlineStr">
        <is>
          <t>13-03-2024</t>
        </is>
      </c>
      <c r="G80" s="39" t="n"/>
      <c r="H80" s="39">
        <f>IF(OR(F80="",G80=""),"",G80-F80)</f>
        <v/>
      </c>
      <c r="I80" s="39">
        <f>IFERROR(IF(VALUE(SUBSTITUTE(SUBSTITUTE(J80,"%","")," ",""))&lt;=0,"Not Started",IF(VALUE(SUBSTITUTE(SUBSTITUTE(J80,"%","")," ",""))&gt;=100,"Completed","In Progress")),"Not Started")</f>
        <v/>
      </c>
      <c r="J80" s="39" t="inlineStr">
        <is>
          <t>25</t>
        </is>
      </c>
      <c r="K80" s="39" t="inlineStr">
        <is>
          <t>MEDIUM</t>
        </is>
      </c>
      <c r="L80" s="39" t="inlineStr">
        <is>
          <t>INR 5,500</t>
        </is>
      </c>
      <c r="M80" s="39">
        <f>IF(H80="","",H80*8)</f>
        <v/>
      </c>
      <c r="N80" s="41">
        <f>IF(OR(L80="",H80=""),"",L80*H80)</f>
        <v/>
      </c>
      <c r="O80" s="39" t="inlineStr">
        <is>
          <t>Extra spaces detected</t>
        </is>
      </c>
    </row>
    <row r="81" ht="15" customHeight="1" s="203">
      <c r="A81" s="42" t="n">
        <v>78</v>
      </c>
      <c r="B81" s="43" t="inlineStr">
        <is>
          <t>Validate Data Ranges — HR Age Dataset</t>
        </is>
      </c>
      <c r="C81" s="42" t="inlineStr">
        <is>
          <t>phase 2</t>
        </is>
      </c>
      <c r="D81" s="42" t="inlineStr">
        <is>
          <t>SUNITA VERMA</t>
        </is>
      </c>
      <c r="E81" s="42" t="inlineStr">
        <is>
          <t>data platform</t>
        </is>
      </c>
      <c r="F81" s="42" t="inlineStr">
        <is>
          <t>02/24/2024</t>
        </is>
      </c>
      <c r="G81" s="42" t="n"/>
      <c r="H81" s="42">
        <f>IF(OR(F81="",G81=""),"",G81-F81)</f>
        <v/>
      </c>
      <c r="I81" s="42">
        <f>IFERROR(IF(VALUE(SUBSTITUTE(SUBSTITUTE(J81,"%","")," ",""))&lt;=0,"Not Started",IF(VALUE(SUBSTITUTE(SUBSTITUTE(J81,"%","")," ",""))&gt;=100,"Completed","In Progress")),"Not Started")</f>
        <v/>
      </c>
      <c r="J81" s="42" t="inlineStr">
        <is>
          <t>100.00%</t>
        </is>
      </c>
      <c r="K81" s="42" t="inlineStr">
        <is>
          <t>medium</t>
        </is>
      </c>
      <c r="L81" s="42" t="inlineStr">
        <is>
          <t>3000</t>
        </is>
      </c>
      <c r="M81" s="42">
        <f>IF(H81="","",H81*8)</f>
        <v/>
      </c>
      <c r="N81" s="44">
        <f>IF(OR(L81="",H81=""),"",L81*H81)</f>
        <v/>
      </c>
      <c r="O81" s="42" t="inlineStr">
        <is>
          <t>Extra spaces detected</t>
        </is>
      </c>
    </row>
    <row r="82" ht="15" customHeight="1" s="203">
      <c r="A82" s="39" t="n">
        <v>79</v>
      </c>
      <c r="B82" s="40" t="inlineStr">
        <is>
          <t>Standardize Category Labels — Product SKU</t>
        </is>
      </c>
      <c r="C82" s="39" t="inlineStr">
        <is>
          <t>PHASE3</t>
        </is>
      </c>
      <c r="D82" s="39" t="inlineStr">
        <is>
          <t>arjun pillai</t>
        </is>
      </c>
      <c r="E82" s="39" t="inlineStr">
        <is>
          <t>QUALITY ASSUR.</t>
        </is>
      </c>
      <c r="F82" s="39" t="inlineStr">
        <is>
          <t>09-01-2024</t>
        </is>
      </c>
      <c r="G82" s="39" t="n"/>
      <c r="H82" s="39">
        <f>IF(OR(F82="",G82=""),"",G82-F82)</f>
        <v/>
      </c>
      <c r="I82" s="39">
        <f>IFERROR(IF(VALUE(SUBSTITUTE(SUBSTITUTE(J82,"%","")," ",""))&lt;=0,"Not Started",IF(VALUE(SUBSTITUTE(SUBSTITUTE(J82,"%","")," ",""))&gt;=100,"Completed","In Progress")),"Not Started")</f>
        <v/>
      </c>
      <c r="J82" s="39" t="inlineStr">
        <is>
          <t>75</t>
        </is>
      </c>
      <c r="K82" s="39" t="inlineStr">
        <is>
          <t>Critical</t>
        </is>
      </c>
      <c r="L82" s="39" t="inlineStr">
        <is>
          <t>INR 5,500</t>
        </is>
      </c>
      <c r="M82" s="39">
        <f>IF(H82="","",H82*8)</f>
        <v/>
      </c>
      <c r="N82" s="41">
        <f>IF(OR(L82="",H82=""),"",L82*H82)</f>
        <v/>
      </c>
      <c r="O82" s="39" t="inlineStr">
        <is>
          <t>—</t>
        </is>
      </c>
    </row>
    <row r="83" ht="15" customHeight="1" s="203">
      <c r="A83" s="42" t="n">
        <v>80</v>
      </c>
      <c r="B83" s="43" t="inlineStr">
        <is>
          <t>Combine &amp; Reconcile Columns — Address</t>
        </is>
      </c>
      <c r="C83" s="42" t="inlineStr">
        <is>
          <t>Phase 4</t>
        </is>
      </c>
      <c r="D83" s="42" t="inlineStr">
        <is>
          <t>KARAN MALHOTRA</t>
        </is>
      </c>
      <c r="E83" s="42" t="inlineStr">
        <is>
          <t>PMO</t>
        </is>
      </c>
      <c r="F83" s="42" t="inlineStr">
        <is>
          <t>06/14/2024</t>
        </is>
      </c>
      <c r="G83" s="42" t="n"/>
      <c r="H83" s="42">
        <f>IF(OR(F83="",G83=""),"",G83-F83)</f>
        <v/>
      </c>
      <c r="I83" s="42">
        <f>IFERROR(IF(VALUE(SUBSTITUTE(SUBSTITUTE(J83,"%","")," ",""))&lt;=0,"Not Started",IF(VALUE(SUBSTITUTE(SUBSTITUTE(J83,"%","")," ",""))&gt;=100,"Completed","In Progress")),"Not Started")</f>
        <v/>
      </c>
      <c r="J83" s="42" t="inlineStr">
        <is>
          <t>0</t>
        </is>
      </c>
      <c r="K83" s="42" t="inlineStr">
        <is>
          <t>High</t>
        </is>
      </c>
      <c r="L83" s="42" t="inlineStr">
        <is>
          <t>3000</t>
        </is>
      </c>
      <c r="M83" s="42">
        <f>IF(H83="","",H83*8)</f>
        <v/>
      </c>
      <c r="N83" s="44">
        <f>IF(OR(L83="",H83=""),"",L83*H83)</f>
        <v/>
      </c>
      <c r="O83" s="42" t="inlineStr">
        <is>
          <t>Check formula</t>
        </is>
      </c>
    </row>
    <row r="84" ht="15" customHeight="1" s="203">
      <c r="A84" s="39" t="n">
        <v>81</v>
      </c>
      <c r="B84" s="40" t="inlineStr">
        <is>
          <t>Remove Duplicates — CRM Export Cleaning</t>
        </is>
      </c>
      <c r="C84" s="39" t="inlineStr">
        <is>
          <t>PHASE1</t>
        </is>
      </c>
      <c r="D84" s="39" t="inlineStr">
        <is>
          <t>Arjun Pillai</t>
        </is>
      </c>
      <c r="E84" s="39" t="inlineStr">
        <is>
          <t>BI &amp; ANALYTICS</t>
        </is>
      </c>
      <c r="F84" s="39" t="inlineStr">
        <is>
          <t>18-02-2024</t>
        </is>
      </c>
      <c r="G84" s="39" t="n"/>
      <c r="H84" s="39">
        <f>IF(OR(F84="",G84=""),"",G84-F84)</f>
        <v/>
      </c>
      <c r="I84" s="39">
        <f>IFERROR(IF(VALUE(SUBSTITUTE(SUBSTITUTE(J84,"%","")," ",""))&lt;=0,"Not Started",IF(VALUE(SUBSTITUTE(SUBSTITUTE(J84,"%","")," ",""))&gt;=100,"Completed","In Progress")),"Not Started")</f>
        <v/>
      </c>
      <c r="J84" s="39" t="inlineStr">
        <is>
          <t>75%</t>
        </is>
      </c>
      <c r="K84" s="39" t="inlineStr">
        <is>
          <t>Critical</t>
        </is>
      </c>
      <c r="L84" s="39" t="inlineStr">
        <is>
          <t>3000</t>
        </is>
      </c>
      <c r="M84" s="39">
        <f>IF(H84="","",H84*8)</f>
        <v/>
      </c>
      <c r="N84" s="41">
        <f>IF(OR(L84="",H84=""),"",L84*H84)</f>
        <v/>
      </c>
      <c r="O84" s="39" t="inlineStr">
        <is>
          <t>—</t>
        </is>
      </c>
    </row>
    <row r="85" ht="15" customHeight="1" s="203">
      <c r="A85" s="42" t="n">
        <v>82</v>
      </c>
      <c r="B85" s="43" t="inlineStr">
        <is>
          <t>Trim Extra Spaces — Customer Name Import</t>
        </is>
      </c>
      <c r="C85" s="42" t="inlineStr">
        <is>
          <t>PHASE2</t>
        </is>
      </c>
      <c r="D85" s="42" t="inlineStr">
        <is>
          <t>Siddharth Rao</t>
        </is>
      </c>
      <c r="E85" s="42" t="inlineStr">
        <is>
          <t>BUSINESS INTEL.</t>
        </is>
      </c>
      <c r="F85" s="42" t="inlineStr">
        <is>
          <t>01/13/2024</t>
        </is>
      </c>
      <c r="G85" s="42" t="n"/>
      <c r="H85" s="42">
        <f>IF(OR(F85="",G85=""),"",G85-F85)</f>
        <v/>
      </c>
      <c r="I85" s="42">
        <f>IFERROR(IF(VALUE(SUBSTITUTE(SUBSTITUTE(J85,"%","")," ",""))&lt;=0,"Not Started",IF(VALUE(SUBSTITUTE(SUBSTITUTE(J85,"%","")," ",""))&gt;=100,"Completed","In Progress")),"Not Started")</f>
        <v/>
      </c>
      <c r="J85" s="42" t="inlineStr">
        <is>
          <t>40%</t>
        </is>
      </c>
      <c r="K85" s="42" t="inlineStr">
        <is>
          <t>medium</t>
        </is>
      </c>
      <c r="L85" s="42" t="inlineStr">
        <is>
          <t>Rs. 4,000</t>
        </is>
      </c>
      <c r="M85" s="42">
        <f>IF(H85="","",H85*8)</f>
        <v/>
      </c>
      <c r="N85" s="44">
        <f>IF(OR(L85="",H85=""),"",L85*H85)</f>
        <v/>
      </c>
      <c r="O85" s="42" t="inlineStr">
        <is>
          <t>—</t>
        </is>
      </c>
    </row>
    <row r="86" ht="15" customHeight="1" s="203">
      <c r="A86" s="39" t="n">
        <v>83</v>
      </c>
      <c r="B86" s="40" t="inlineStr">
        <is>
          <t>Standardize Text Case — Region Codes</t>
        </is>
      </c>
      <c r="C86" s="39" t="inlineStr">
        <is>
          <t>phase 3</t>
        </is>
      </c>
      <c r="D86" s="39" t="inlineStr">
        <is>
          <t>KARAN MALHOTRA</t>
        </is>
      </c>
      <c r="E86" s="39" t="inlineStr">
        <is>
          <t>Data Platform</t>
        </is>
      </c>
      <c r="F86" s="39" t="inlineStr">
        <is>
          <t>2024-04-08</t>
        </is>
      </c>
      <c r="G86" s="39" t="n"/>
      <c r="H86" s="39">
        <f>IF(OR(F86="",G86=""),"",G86-F86)</f>
        <v/>
      </c>
      <c r="I86" s="39">
        <f>IFERROR(IF(VALUE(SUBSTITUTE(SUBSTITUTE(J86,"%","")," ",""))&lt;=0,"Not Started",IF(VALUE(SUBSTITUTE(SUBSTITUTE(J86,"%","")," ",""))&gt;=100,"Completed","In Progress")),"Not Started")</f>
        <v/>
      </c>
      <c r="J86" s="39" t="inlineStr">
        <is>
          <t>65.00%</t>
        </is>
      </c>
      <c r="K86" s="39" t="inlineStr">
        <is>
          <t>Low</t>
        </is>
      </c>
      <c r="L86" s="39" t="inlineStr">
        <is>
          <t>Rs.5000</t>
        </is>
      </c>
      <c r="M86" s="39">
        <f>IF(H86="","",H86*8)</f>
        <v/>
      </c>
      <c r="N86" s="41">
        <f>IF(OR(L86="",H86=""),"",L86*H86)</f>
        <v/>
      </c>
      <c r="O86" s="39" t="inlineStr">
        <is>
          <t>Extra spaces detected</t>
        </is>
      </c>
    </row>
    <row r="87" ht="15" customHeight="1" s="203">
      <c r="A87" s="42" t="n">
        <v>84</v>
      </c>
      <c r="B87" s="43" t="inlineStr">
        <is>
          <t>Fix Date Formats — Legacy System Dates</t>
        </is>
      </c>
      <c r="C87" s="42" t="inlineStr">
        <is>
          <t>PHASE 4</t>
        </is>
      </c>
      <c r="D87" s="42" t="inlineStr">
        <is>
          <t>Siddharth Rao</t>
        </is>
      </c>
      <c r="E87" s="42" t="inlineStr">
        <is>
          <t>QUALITY ASSUR.</t>
        </is>
      </c>
      <c r="F87" s="42" t="inlineStr">
        <is>
          <t>06/10/2024</t>
        </is>
      </c>
      <c r="G87" s="42" t="n"/>
      <c r="H87" s="42">
        <f>IF(OR(F87="",G87=""),"",G87-F87)</f>
        <v/>
      </c>
      <c r="I87" s="42">
        <f>IFERROR(IF(VALUE(SUBSTITUTE(SUBSTITUTE(J87,"%","")," ",""))&lt;=0,"Not Started",IF(VALUE(SUBSTITUTE(SUBSTITUTE(J87,"%","")," ",""))&gt;=100,"Completed","In Progress")),"Not Started")</f>
        <v/>
      </c>
      <c r="J87" s="42" t="inlineStr">
        <is>
          <t>65</t>
        </is>
      </c>
      <c r="K87" s="42" t="inlineStr">
        <is>
          <t>low</t>
        </is>
      </c>
      <c r="L87" s="42" t="inlineStr">
        <is>
          <t>₹4200</t>
        </is>
      </c>
      <c r="M87" s="42">
        <f>IF(H87="","",H87*8)</f>
        <v/>
      </c>
      <c r="N87" s="44">
        <f>IF(OR(L87="",H87=""),"",L87*H87)</f>
        <v/>
      </c>
      <c r="O87" s="42" t="inlineStr">
        <is>
          <t>Extra spaces detected</t>
        </is>
      </c>
    </row>
    <row r="88" ht="15" customHeight="1" s="203">
      <c r="A88" s="39" t="n">
        <v>85</v>
      </c>
      <c r="B88" s="40" t="inlineStr">
        <is>
          <t>Handle Missing Values — Customer Database</t>
        </is>
      </c>
      <c r="C88" s="39" t="inlineStr">
        <is>
          <t>Phase 1</t>
        </is>
      </c>
      <c r="D88" s="39" t="inlineStr">
        <is>
          <t>siddharth rao</t>
        </is>
      </c>
      <c r="E88" s="39" t="inlineStr">
        <is>
          <t>pmo</t>
        </is>
      </c>
      <c r="F88" s="39" t="inlineStr">
        <is>
          <t>19-05-2024</t>
        </is>
      </c>
      <c r="G88" s="39" t="n"/>
      <c r="H88" s="39">
        <f>IF(OR(F88="",G88=""),"",G88-F88)</f>
        <v/>
      </c>
      <c r="I88" s="39">
        <f>IFERROR(IF(VALUE(SUBSTITUTE(SUBSTITUTE(J88,"%","")," ",""))&lt;=0,"Not Started",IF(VALUE(SUBSTITUTE(SUBSTITUTE(J88,"%","")," ",""))&gt;=100,"Completed","In Progress")),"Not Started")</f>
        <v/>
      </c>
      <c r="J88" s="39" t="inlineStr">
        <is>
          <t>75 %</t>
        </is>
      </c>
      <c r="K88" s="39" t="inlineStr">
        <is>
          <t>High</t>
        </is>
      </c>
      <c r="L88" s="39" t="inlineStr">
        <is>
          <t>₹4200</t>
        </is>
      </c>
      <c r="M88" s="39">
        <f>IF(H88="","",H88*8)</f>
        <v/>
      </c>
      <c r="N88" s="41">
        <f>IF(OR(L88="",H88=""),"",L88*H88)</f>
        <v/>
      </c>
      <c r="O88" s="39" t="inlineStr">
        <is>
          <t>Awaiting sign-off</t>
        </is>
      </c>
    </row>
    <row r="89" ht="15" customHeight="1" s="203">
      <c r="A89" s="42" t="n">
        <v>86</v>
      </c>
      <c r="B89" s="43" t="inlineStr">
        <is>
          <t>Split Combined Columns — Contact Database</t>
        </is>
      </c>
      <c r="C89" s="42" t="inlineStr">
        <is>
          <t>phase 2</t>
        </is>
      </c>
      <c r="D89" s="42" t="inlineStr">
        <is>
          <t>meera pillai</t>
        </is>
      </c>
      <c r="E89" s="42" t="inlineStr">
        <is>
          <t>bi &amp; analytics</t>
        </is>
      </c>
      <c r="F89" s="42" t="inlineStr">
        <is>
          <t>04-04-2024</t>
        </is>
      </c>
      <c r="G89" s="42" t="n"/>
      <c r="H89" s="42">
        <f>IF(OR(F89="",G89=""),"",G89-F89)</f>
        <v/>
      </c>
      <c r="I89" s="42">
        <f>IFERROR(IF(VALUE(SUBSTITUTE(SUBSTITUTE(J89,"%","")," ",""))&lt;=0,"Not Started",IF(VALUE(SUBSTITUTE(SUBSTITUTE(J89,"%","")," ",""))&gt;=100,"Completed","In Progress")),"Not Started")</f>
        <v/>
      </c>
      <c r="J89" s="42" t="inlineStr">
        <is>
          <t>50</t>
        </is>
      </c>
      <c r="K89" s="42" t="inlineStr">
        <is>
          <t>low</t>
        </is>
      </c>
      <c r="L89" s="42" t="inlineStr">
        <is>
          <t>3000</t>
        </is>
      </c>
      <c r="M89" s="42">
        <f>IF(H89="","",H89*8)</f>
        <v/>
      </c>
      <c r="N89" s="44">
        <f>IF(OR(L89="",H89=""),"",L89*H89)</f>
        <v/>
      </c>
      <c r="O89" s="42" t="inlineStr">
        <is>
          <t>Flag for QA</t>
        </is>
      </c>
    </row>
    <row r="90" ht="15" customHeight="1" s="203">
      <c r="A90" s="39" t="n">
        <v>87</v>
      </c>
      <c r="B90" s="40" t="inlineStr">
        <is>
          <t>Remove Non-Numeric Chars — Revenue Data</t>
        </is>
      </c>
      <c r="C90" s="39" t="inlineStr">
        <is>
          <t>PHASE3</t>
        </is>
      </c>
      <c r="D90" s="39" t="inlineStr">
        <is>
          <t>Meera Pillai</t>
        </is>
      </c>
      <c r="E90" s="39" t="inlineStr">
        <is>
          <t>business intel.</t>
        </is>
      </c>
      <c r="F90" s="39" t="inlineStr">
        <is>
          <t>2024-01-19</t>
        </is>
      </c>
      <c r="G90" s="39" t="n"/>
      <c r="H90" s="39">
        <f>IF(OR(F90="",G90=""),"",G90-F90)</f>
        <v/>
      </c>
      <c r="I90" s="39">
        <f>IFERROR(IF(VALUE(SUBSTITUTE(SUBSTITUTE(J90,"%","")," ",""))&lt;=0,"Not Started",IF(VALUE(SUBSTITUTE(SUBSTITUTE(J90,"%","")," ",""))&gt;=100,"Completed","In Progress")),"Not Started")</f>
        <v/>
      </c>
      <c r="J90" s="39" t="inlineStr">
        <is>
          <t>65%</t>
        </is>
      </c>
      <c r="K90" s="39" t="inlineStr">
        <is>
          <t>Medium</t>
        </is>
      </c>
      <c r="L90" s="39" t="inlineStr">
        <is>
          <t>INR 5,500</t>
        </is>
      </c>
      <c r="M90" s="39">
        <f>IF(H90="","",H90*8)</f>
        <v/>
      </c>
      <c r="N90" s="41">
        <f>IF(OR(L90="",H90=""),"",L90*H90)</f>
        <v/>
      </c>
      <c r="O90" s="39" t="inlineStr">
        <is>
          <t>Flag for QA</t>
        </is>
      </c>
    </row>
    <row r="91" ht="15" customHeight="1" s="203">
      <c r="A91" s="42" t="n">
        <v>88</v>
      </c>
      <c r="B91" s="43" t="inlineStr">
        <is>
          <t>Validate Data Ranges — HR Age Dataset</t>
        </is>
      </c>
      <c r="C91" s="42" t="inlineStr">
        <is>
          <t>PHASE4</t>
        </is>
      </c>
      <c r="D91" s="42" t="inlineStr">
        <is>
          <t>Ananya Singh</t>
        </is>
      </c>
      <c r="E91" s="42" t="inlineStr">
        <is>
          <t>Data Platform</t>
        </is>
      </c>
      <c r="F91" s="42" t="inlineStr">
        <is>
          <t>2024-05-25</t>
        </is>
      </c>
      <c r="G91" s="42" t="n"/>
      <c r="H91" s="42">
        <f>IF(OR(F91="",G91=""),"",G91-F91)</f>
        <v/>
      </c>
      <c r="I91" s="42">
        <f>IFERROR(IF(VALUE(SUBSTITUTE(SUBSTITUTE(J91,"%","")," ",""))&lt;=0,"Not Started",IF(VALUE(SUBSTITUTE(SUBSTITUTE(J91,"%","")," ",""))&gt;=100,"Completed","In Progress")),"Not Started")</f>
        <v/>
      </c>
      <c r="J91" s="42" t="inlineStr">
        <is>
          <t>50%</t>
        </is>
      </c>
      <c r="K91" s="42" t="inlineStr">
        <is>
          <t>Critical</t>
        </is>
      </c>
      <c r="L91" s="42" t="inlineStr">
        <is>
          <t>INR 5,500</t>
        </is>
      </c>
      <c r="M91" s="42">
        <f>IF(H91="","",H91*8)</f>
        <v/>
      </c>
      <c r="N91" s="44">
        <f>IF(OR(L91="",H91=""),"",L91*H91)</f>
        <v/>
      </c>
      <c r="O91" s="42" t="inlineStr">
        <is>
          <t>Re-run TRIM</t>
        </is>
      </c>
    </row>
    <row r="92" ht="15" customHeight="1" s="203">
      <c r="A92" s="39" t="n">
        <v>89</v>
      </c>
      <c r="B92" s="40" t="inlineStr">
        <is>
          <t>Standardize Category Labels — Product SKU</t>
        </is>
      </c>
      <c r="C92" s="39" t="inlineStr">
        <is>
          <t>phase 1</t>
        </is>
      </c>
      <c r="D92" s="39" t="inlineStr">
        <is>
          <t>Rohit Gupta</t>
        </is>
      </c>
      <c r="E92" s="39" t="inlineStr">
        <is>
          <t>Quality Assur.</t>
        </is>
      </c>
      <c r="F92" s="39" t="inlineStr">
        <is>
          <t>02/16/2024</t>
        </is>
      </c>
      <c r="G92" s="39" t="n"/>
      <c r="H92" s="39">
        <f>IF(OR(F92="",G92=""),"",G92-F92)</f>
        <v/>
      </c>
      <c r="I92" s="39">
        <f>IFERROR(IF(VALUE(SUBSTITUTE(SUBSTITUTE(J92,"%","")," ",""))&lt;=0,"Not Started",IF(VALUE(SUBSTITUTE(SUBSTITUTE(J92,"%","")," ",""))&gt;=100,"Completed","In Progress")),"Not Started")</f>
        <v/>
      </c>
      <c r="J92" s="39" t="inlineStr">
        <is>
          <t>0</t>
        </is>
      </c>
      <c r="K92" s="39" t="inlineStr">
        <is>
          <t>medium</t>
        </is>
      </c>
      <c r="L92" s="39" t="inlineStr">
        <is>
          <t>Rs. 4,000</t>
        </is>
      </c>
      <c r="M92" s="39">
        <f>IF(H92="","",H92*8)</f>
        <v/>
      </c>
      <c r="N92" s="41">
        <f>IF(OR(L92="",H92=""),"",L92*H92)</f>
        <v/>
      </c>
      <c r="O92" s="39" t="inlineStr">
        <is>
          <t>Check formula</t>
        </is>
      </c>
    </row>
    <row r="93" ht="15" customHeight="1" s="203">
      <c r="A93" s="42" t="n">
        <v>90</v>
      </c>
      <c r="B93" s="43" t="inlineStr">
        <is>
          <t>Combine &amp; Reconcile Columns — Address</t>
        </is>
      </c>
      <c r="C93" s="42" t="inlineStr">
        <is>
          <t>Phase 2</t>
        </is>
      </c>
      <c r="D93" s="42" t="inlineStr">
        <is>
          <t xml:space="preserve">  Rahul Mehta  </t>
        </is>
      </c>
      <c r="E93" s="42" t="inlineStr">
        <is>
          <t>PMO</t>
        </is>
      </c>
      <c r="F93" s="42" t="inlineStr">
        <is>
          <t>05/15/2024</t>
        </is>
      </c>
      <c r="G93" s="42" t="n"/>
      <c r="H93" s="42">
        <f>IF(OR(F93="",G93=""),"",G93-F93)</f>
        <v/>
      </c>
      <c r="I93" s="42">
        <f>IFERROR(IF(VALUE(SUBSTITUTE(SUBSTITUTE(J93,"%","")," ",""))&lt;=0,"Not Started",IF(VALUE(SUBSTITUTE(SUBSTITUTE(J93,"%","")," ",""))&gt;=100,"Completed","In Progress")),"Not Started")</f>
        <v/>
      </c>
      <c r="J93" s="42" t="inlineStr">
        <is>
          <t>40.00%</t>
        </is>
      </c>
      <c r="K93" s="42" t="inlineStr">
        <is>
          <t>Critical</t>
        </is>
      </c>
      <c r="L93" s="42" t="inlineStr">
        <is>
          <t>Rs. 3,500</t>
        </is>
      </c>
      <c r="M93" s="42">
        <f>IF(H93="","",H93*8)</f>
        <v/>
      </c>
      <c r="N93" s="44">
        <f>IF(OR(L93="",H93=""),"",L93*H93)</f>
        <v/>
      </c>
      <c r="O93" s="42" t="inlineStr">
        <is>
          <t>Minor inconsistency</t>
        </is>
      </c>
    </row>
    <row r="94" ht="15" customHeight="1" s="203">
      <c r="A94" s="39" t="n">
        <v>91</v>
      </c>
      <c r="B94" s="40" t="inlineStr">
        <is>
          <t>Remove Duplicates — CRM Export Cleaning</t>
        </is>
      </c>
      <c r="C94" s="39" t="inlineStr">
        <is>
          <t>PHASE3</t>
        </is>
      </c>
      <c r="D94" s="39" t="inlineStr">
        <is>
          <t>PRIYA SHARMA</t>
        </is>
      </c>
      <c r="E94" s="39" t="inlineStr">
        <is>
          <t>bi &amp; analytics</t>
        </is>
      </c>
      <c r="F94" s="39" t="inlineStr">
        <is>
          <t>07-03-2024</t>
        </is>
      </c>
      <c r="G94" s="39" t="n"/>
      <c r="H94" s="39">
        <f>IF(OR(F94="",G94=""),"",G94-F94)</f>
        <v/>
      </c>
      <c r="I94" s="39">
        <f>IFERROR(IF(VALUE(SUBSTITUTE(SUBSTITUTE(J94,"%","")," ",""))&lt;=0,"Not Started",IF(VALUE(SUBSTITUTE(SUBSTITUTE(J94,"%","")," ",""))&gt;=100,"Completed","In Progress")),"Not Started")</f>
        <v/>
      </c>
      <c r="J94" s="39" t="inlineStr">
        <is>
          <t>75</t>
        </is>
      </c>
      <c r="K94" s="39" t="inlineStr">
        <is>
          <t>low</t>
        </is>
      </c>
      <c r="L94" s="39" t="inlineStr">
        <is>
          <t xml:space="preserve">  ₹2,000  </t>
        </is>
      </c>
      <c r="M94" s="39">
        <f>IF(H94="","",H94*8)</f>
        <v/>
      </c>
      <c r="N94" s="41">
        <f>IF(OR(L94="",H94=""),"",L94*H94)</f>
        <v/>
      </c>
      <c r="O94" s="39" t="inlineStr">
        <is>
          <t>—</t>
        </is>
      </c>
    </row>
    <row r="95" ht="15" customHeight="1" s="203">
      <c r="A95" s="42" t="n">
        <v>92</v>
      </c>
      <c r="B95" s="43" t="inlineStr">
        <is>
          <t>Trim Extra Spaces — Customer Name Import</t>
        </is>
      </c>
      <c r="C95" s="42" t="inlineStr">
        <is>
          <t>phase 4</t>
        </is>
      </c>
      <c r="D95" s="42" t="inlineStr">
        <is>
          <t>Sunita Verma</t>
        </is>
      </c>
      <c r="E95" s="42" t="inlineStr">
        <is>
          <t>BUSINESS INTEL.</t>
        </is>
      </c>
      <c r="F95" s="42" t="inlineStr">
        <is>
          <t>2024-05-27</t>
        </is>
      </c>
      <c r="G95" s="42" t="n"/>
      <c r="H95" s="42">
        <f>IF(OR(F95="",G95=""),"",G95-F95)</f>
        <v/>
      </c>
      <c r="I95" s="42">
        <f>IFERROR(IF(VALUE(SUBSTITUTE(SUBSTITUTE(J95,"%","")," ",""))&lt;=0,"Not Started",IF(VALUE(SUBSTITUTE(SUBSTITUTE(J95,"%","")," ",""))&gt;=100,"Completed","In Progress")),"Not Started")</f>
        <v/>
      </c>
      <c r="J95" s="42" t="inlineStr">
        <is>
          <t>25.00%</t>
        </is>
      </c>
      <c r="K95" s="42" t="inlineStr">
        <is>
          <t>Critical</t>
        </is>
      </c>
      <c r="L95" s="42" t="inlineStr">
        <is>
          <t>INR 5,500</t>
        </is>
      </c>
      <c r="M95" s="42">
        <f>IF(H95="","",H95*8)</f>
        <v/>
      </c>
      <c r="N95" s="44">
        <f>IF(OR(L95="",H95=""),"",L95*H95)</f>
        <v/>
      </c>
      <c r="O95" s="42" t="inlineStr">
        <is>
          <t>—</t>
        </is>
      </c>
    </row>
    <row r="96" ht="15" customHeight="1" s="203">
      <c r="A96" s="39" t="n">
        <v>93</v>
      </c>
      <c r="B96" s="40" t="inlineStr">
        <is>
          <t>Standardize Text Case — Region Codes</t>
        </is>
      </c>
      <c r="C96" s="39" t="inlineStr">
        <is>
          <t>PHASE1</t>
        </is>
      </c>
      <c r="D96" s="39" t="inlineStr">
        <is>
          <t>Arjun Pillai</t>
        </is>
      </c>
      <c r="E96" s="39" t="inlineStr">
        <is>
          <t>DATA PLATFORM</t>
        </is>
      </c>
      <c r="F96" s="39" t="inlineStr">
        <is>
          <t>03/19/2024</t>
        </is>
      </c>
      <c r="G96" s="39" t="n"/>
      <c r="H96" s="39">
        <f>IF(OR(F96="",G96=""),"",G96-F96)</f>
        <v/>
      </c>
      <c r="I96" s="39">
        <f>IFERROR(IF(VALUE(SUBSTITUTE(SUBSTITUTE(J96,"%","")," ",""))&lt;=0,"Not Started",IF(VALUE(SUBSTITUTE(SUBSTITUTE(J96,"%","")," ",""))&gt;=100,"Completed","In Progress")),"Not Started")</f>
        <v/>
      </c>
      <c r="J96" s="39" t="inlineStr">
        <is>
          <t>0%</t>
        </is>
      </c>
      <c r="K96" s="39" t="inlineStr">
        <is>
          <t>LOW</t>
        </is>
      </c>
      <c r="L96" s="39" t="inlineStr">
        <is>
          <t xml:space="preserve">  ₹2,000  </t>
        </is>
      </c>
      <c r="M96" s="39">
        <f>IF(H96="","",H96*8)</f>
        <v/>
      </c>
      <c r="N96" s="41">
        <f>IF(OR(L96="",H96=""),"",L96*H96)</f>
        <v/>
      </c>
      <c r="O96" s="39" t="inlineStr">
        <is>
          <t>Awaiting sign-off</t>
        </is>
      </c>
    </row>
    <row r="97" ht="15" customHeight="1" s="203">
      <c r="A97" s="42" t="n">
        <v>94</v>
      </c>
      <c r="B97" s="43" t="inlineStr">
        <is>
          <t>Fix Date Formats — Legacy System Dates</t>
        </is>
      </c>
      <c r="C97" s="42" t="inlineStr">
        <is>
          <t>PHASE2</t>
        </is>
      </c>
      <c r="D97" s="42" t="inlineStr">
        <is>
          <t>deepa krishnan</t>
        </is>
      </c>
      <c r="E97" s="42" t="inlineStr">
        <is>
          <t>quality assur.</t>
        </is>
      </c>
      <c r="F97" s="42" t="inlineStr">
        <is>
          <t>02/24/2024</t>
        </is>
      </c>
      <c r="G97" s="42" t="n"/>
      <c r="H97" s="42">
        <f>IF(OR(F97="",G97=""),"",G97-F97)</f>
        <v/>
      </c>
      <c r="I97" s="42">
        <f>IFERROR(IF(VALUE(SUBSTITUTE(SUBSTITUTE(J97,"%","")," ",""))&lt;=0,"Not Started",IF(VALUE(SUBSTITUTE(SUBSTITUTE(J97,"%","")," ",""))&gt;=100,"Completed","In Progress")),"Not Started")</f>
        <v/>
      </c>
      <c r="J97" s="42" t="inlineStr">
        <is>
          <t>100%</t>
        </is>
      </c>
      <c r="K97" s="42" t="inlineStr">
        <is>
          <t>critical</t>
        </is>
      </c>
      <c r="L97" s="42" t="inlineStr">
        <is>
          <t>INR 5,500</t>
        </is>
      </c>
      <c r="M97" s="42">
        <f>IF(H97="","",H97*8)</f>
        <v/>
      </c>
      <c r="N97" s="44">
        <f>IF(OR(L97="",H97=""),"",L97*H97)</f>
        <v/>
      </c>
      <c r="O97" s="42" t="inlineStr">
        <is>
          <t>Re-run TRIM</t>
        </is>
      </c>
    </row>
    <row r="98" ht="15" customHeight="1" s="203">
      <c r="A98" s="39" t="n">
        <v>95</v>
      </c>
      <c r="B98" s="40" t="inlineStr">
        <is>
          <t>Handle Missing Values — Customer Database</t>
        </is>
      </c>
      <c r="C98" s="39" t="inlineStr">
        <is>
          <t>Phase 3</t>
        </is>
      </c>
      <c r="D98" s="39" t="inlineStr">
        <is>
          <t>KARAN MALHOTRA</t>
        </is>
      </c>
      <c r="E98" s="39" t="inlineStr">
        <is>
          <t>PMO</t>
        </is>
      </c>
      <c r="F98" s="39" t="inlineStr">
        <is>
          <t>02/18/2024</t>
        </is>
      </c>
      <c r="G98" s="39" t="n"/>
      <c r="H98" s="39">
        <f>IF(OR(F98="",G98=""),"",G98-F98)</f>
        <v/>
      </c>
      <c r="I98" s="39">
        <f>IFERROR(IF(VALUE(SUBSTITUTE(SUBSTITUTE(J98,"%","")," ",""))&lt;=0,"Not Started",IF(VALUE(SUBSTITUTE(SUBSTITUTE(J98,"%","")," ",""))&gt;=100,"Completed","In Progress")),"Not Started")</f>
        <v/>
      </c>
      <c r="J98" s="39" t="inlineStr">
        <is>
          <t>75 %</t>
        </is>
      </c>
      <c r="K98" s="39" t="inlineStr">
        <is>
          <t>HIGH</t>
        </is>
      </c>
      <c r="L98" s="39" t="inlineStr">
        <is>
          <t>INR 5,500</t>
        </is>
      </c>
      <c r="M98" s="39">
        <f>IF(H98="","",H98*8)</f>
        <v/>
      </c>
      <c r="N98" s="41">
        <f>IF(OR(L98="",H98=""),"",L98*H98)</f>
        <v/>
      </c>
      <c r="O98" s="39" t="inlineStr">
        <is>
          <t>—</t>
        </is>
      </c>
    </row>
    <row r="99" ht="15" customHeight="1" s="203">
      <c r="A99" s="42" t="n">
        <v>96</v>
      </c>
      <c r="B99" s="43" t="inlineStr">
        <is>
          <t>Split Combined Columns — Contact Database</t>
        </is>
      </c>
      <c r="C99" s="42" t="inlineStr">
        <is>
          <t>PHASE 4</t>
        </is>
      </c>
      <c r="D99" s="42" t="inlineStr">
        <is>
          <t>Arjun Pillai</t>
        </is>
      </c>
      <c r="E99" s="42" t="inlineStr">
        <is>
          <t>bi &amp; analytics</t>
        </is>
      </c>
      <c r="F99" s="42" t="inlineStr">
        <is>
          <t>21-01-2024</t>
        </is>
      </c>
      <c r="G99" s="42" t="n"/>
      <c r="H99" s="42">
        <f>IF(OR(F99="",G99=""),"",G99-F99)</f>
        <v/>
      </c>
      <c r="I99" s="42">
        <f>IFERROR(IF(VALUE(SUBSTITUTE(SUBSTITUTE(J99,"%","")," ",""))&lt;=0,"Not Started",IF(VALUE(SUBSTITUTE(SUBSTITUTE(J99,"%","")," ",""))&gt;=100,"Completed","In Progress")),"Not Started")</f>
        <v/>
      </c>
      <c r="J99" s="42" t="inlineStr">
        <is>
          <t>65 %</t>
        </is>
      </c>
      <c r="K99" s="42" t="inlineStr">
        <is>
          <t>HIGH</t>
        </is>
      </c>
      <c r="L99" s="42" t="inlineStr">
        <is>
          <t xml:space="preserve">  ₹2,000  </t>
        </is>
      </c>
      <c r="M99" s="42">
        <f>IF(H99="","",H99*8)</f>
        <v/>
      </c>
      <c r="N99" s="44">
        <f>IF(OR(L99="",H99=""),"",L99*H99)</f>
        <v/>
      </c>
      <c r="O99" s="42" t="inlineStr">
        <is>
          <t>Needs validation</t>
        </is>
      </c>
    </row>
    <row r="100" ht="15" customHeight="1" s="203">
      <c r="A100" s="39" t="n">
        <v>97</v>
      </c>
      <c r="B100" s="40" t="inlineStr">
        <is>
          <t>Remove Non-Numeric Chars — Revenue Data</t>
        </is>
      </c>
      <c r="C100" s="39" t="inlineStr">
        <is>
          <t>PHASE 1</t>
        </is>
      </c>
      <c r="D100" s="39" t="inlineStr">
        <is>
          <t>Siddharth Rao</t>
        </is>
      </c>
      <c r="E100" s="39" t="inlineStr">
        <is>
          <t>business intel.</t>
        </is>
      </c>
      <c r="F100" s="39" t="inlineStr">
        <is>
          <t>10-06-2024</t>
        </is>
      </c>
      <c r="G100" s="39" t="n"/>
      <c r="H100" s="39">
        <f>IF(OR(F100="",G100=""),"",G100-F100)</f>
        <v/>
      </c>
      <c r="I100" s="39">
        <f>IFERROR(IF(VALUE(SUBSTITUTE(SUBSTITUTE(J100,"%","")," ",""))&lt;=0,"Not Started",IF(VALUE(SUBSTITUTE(SUBSTITUTE(J100,"%","")," ",""))&gt;=100,"Completed","In Progress")),"Not Started")</f>
        <v/>
      </c>
      <c r="J100" s="39" t="inlineStr">
        <is>
          <t>25.00%</t>
        </is>
      </c>
      <c r="K100" s="39" t="inlineStr">
        <is>
          <t>CRITICAL</t>
        </is>
      </c>
      <c r="L100" s="39" t="inlineStr">
        <is>
          <t>Rs. 4,000</t>
        </is>
      </c>
      <c r="M100" s="39">
        <f>IF(H100="","",H100*8)</f>
        <v/>
      </c>
      <c r="N100" s="41">
        <f>IF(OR(L100="",H100=""),"",L100*H100)</f>
        <v/>
      </c>
      <c r="O100" s="39" t="inlineStr">
        <is>
          <t>—</t>
        </is>
      </c>
    </row>
    <row r="101" ht="15" customHeight="1" s="203">
      <c r="A101" s="42" t="n">
        <v>98</v>
      </c>
      <c r="B101" s="43" t="inlineStr">
        <is>
          <t>Validate Data Ranges — HR Age Dataset</t>
        </is>
      </c>
      <c r="C101" s="42" t="inlineStr">
        <is>
          <t>Phase 2</t>
        </is>
      </c>
      <c r="D101" s="42" t="inlineStr">
        <is>
          <t>meera pillai</t>
        </is>
      </c>
      <c r="E101" s="42" t="inlineStr">
        <is>
          <t>DATA PLATFORM</t>
        </is>
      </c>
      <c r="F101" s="42" t="inlineStr">
        <is>
          <t>2024-05-07</t>
        </is>
      </c>
      <c r="G101" s="42" t="n"/>
      <c r="H101" s="42">
        <f>IF(OR(F101="",G101=""),"",G101-F101)</f>
        <v/>
      </c>
      <c r="I101" s="42">
        <f>IFERROR(IF(VALUE(SUBSTITUTE(SUBSTITUTE(J101,"%","")," ",""))&lt;=0,"Not Started",IF(VALUE(SUBSTITUTE(SUBSTITUTE(J101,"%","")," ",""))&gt;=100,"Completed","In Progress")),"Not Started")</f>
        <v/>
      </c>
      <c r="J101" s="42" t="inlineStr">
        <is>
          <t>65</t>
        </is>
      </c>
      <c r="K101" s="42" t="inlineStr">
        <is>
          <t>low</t>
        </is>
      </c>
      <c r="L101" s="42" t="inlineStr">
        <is>
          <t>Rs. 4,000</t>
        </is>
      </c>
      <c r="M101" s="42">
        <f>IF(H101="","",H101*8)</f>
        <v/>
      </c>
      <c r="N101" s="44">
        <f>IF(OR(L101="",H101=""),"",L101*H101)</f>
        <v/>
      </c>
      <c r="O101" s="42" t="inlineStr">
        <is>
          <t>Verified OK</t>
        </is>
      </c>
    </row>
    <row r="102" ht="15" customHeight="1" s="203">
      <c r="A102" s="39" t="n">
        <v>99</v>
      </c>
      <c r="B102" s="40" t="inlineStr">
        <is>
          <t>Standardize Category Labels — Product SKU</t>
        </is>
      </c>
      <c r="C102" s="39" t="inlineStr">
        <is>
          <t>phase 3</t>
        </is>
      </c>
      <c r="D102" s="39" t="inlineStr">
        <is>
          <t>ananya singh</t>
        </is>
      </c>
      <c r="E102" s="39" t="inlineStr">
        <is>
          <t>QUALITY ASSUR.</t>
        </is>
      </c>
      <c r="F102" s="39" t="inlineStr">
        <is>
          <t>03-01-2024</t>
        </is>
      </c>
      <c r="G102" s="39" t="n"/>
      <c r="H102" s="39">
        <f>IF(OR(F102="",G102=""),"",G102-F102)</f>
        <v/>
      </c>
      <c r="I102" s="39">
        <f>IFERROR(IF(VALUE(SUBSTITUTE(SUBSTITUTE(J102,"%","")," ",""))&lt;=0,"Not Started",IF(VALUE(SUBSTITUTE(SUBSTITUTE(J102,"%","")," ",""))&gt;=100,"Completed","In Progress")),"Not Started")</f>
        <v/>
      </c>
      <c r="J102" s="39" t="inlineStr">
        <is>
          <t>65.00%</t>
        </is>
      </c>
      <c r="K102" s="39" t="inlineStr">
        <is>
          <t>Low</t>
        </is>
      </c>
      <c r="L102" s="39" t="inlineStr">
        <is>
          <t>Rs. 4,000</t>
        </is>
      </c>
      <c r="M102" s="39">
        <f>IF(H102="","",H102*8)</f>
        <v/>
      </c>
      <c r="N102" s="41">
        <f>IF(OR(L102="",H102=""),"",L102*H102)</f>
        <v/>
      </c>
      <c r="O102" s="39" t="inlineStr">
        <is>
          <t>Check formula</t>
        </is>
      </c>
    </row>
    <row r="103" ht="15" customHeight="1" s="203">
      <c r="A103" s="42" t="n">
        <v>100</v>
      </c>
      <c r="B103" s="43" t="inlineStr">
        <is>
          <t>Combine &amp; Reconcile Columns — Address</t>
        </is>
      </c>
      <c r="C103" s="42" t="inlineStr">
        <is>
          <t>PHASE4</t>
        </is>
      </c>
      <c r="D103" s="42" t="inlineStr">
        <is>
          <t>Pooja Iyer</t>
        </is>
      </c>
      <c r="E103" s="42" t="inlineStr">
        <is>
          <t>PMO</t>
        </is>
      </c>
      <c r="F103" s="42" t="inlineStr">
        <is>
          <t>2024-02-18</t>
        </is>
      </c>
      <c r="G103" s="42" t="n"/>
      <c r="H103" s="42">
        <f>IF(OR(F103="",G103=""),"",G103-F103)</f>
        <v/>
      </c>
      <c r="I103" s="42">
        <f>IFERROR(IF(VALUE(SUBSTITUTE(SUBSTITUTE(J103,"%","")," ",""))&lt;=0,"Not Started",IF(VALUE(SUBSTITUTE(SUBSTITUTE(J103,"%","")," ",""))&gt;=100,"Completed","In Progress")),"Not Started")</f>
        <v/>
      </c>
      <c r="J103" s="42" t="inlineStr">
        <is>
          <t>25 %</t>
        </is>
      </c>
      <c r="K103" s="42" t="inlineStr">
        <is>
          <t>High</t>
        </is>
      </c>
      <c r="L103" s="42" t="inlineStr">
        <is>
          <t xml:space="preserve">  ₹2,000  </t>
        </is>
      </c>
      <c r="M103" s="42">
        <f>IF(H103="","",H103*8)</f>
        <v/>
      </c>
      <c r="N103" s="44">
        <f>IF(OR(L103="",H103=""),"",L103*H103)</f>
        <v/>
      </c>
      <c r="O103" s="42" t="inlineStr">
        <is>
          <t>—</t>
        </is>
      </c>
    </row>
    <row r="104" ht="15" customHeight="1" s="203">
      <c r="A104" s="39" t="n">
        <v>101</v>
      </c>
      <c r="B104" s="40" t="inlineStr">
        <is>
          <t>Remove Duplicates — CRM Export Cleaning</t>
        </is>
      </c>
      <c r="C104" s="39" t="inlineStr">
        <is>
          <t>PHASE1</t>
        </is>
      </c>
      <c r="D104" s="39" t="inlineStr">
        <is>
          <t>Ananya Singh</t>
        </is>
      </c>
      <c r="E104" s="39" t="inlineStr">
        <is>
          <t>BI &amp; Analytics</t>
        </is>
      </c>
      <c r="F104" s="39" t="inlineStr">
        <is>
          <t>02/26/2024</t>
        </is>
      </c>
      <c r="G104" s="39" t="n"/>
      <c r="H104" s="39">
        <f>IF(OR(F104="",G104=""),"",G104-F104)</f>
        <v/>
      </c>
      <c r="I104" s="39">
        <f>IFERROR(IF(VALUE(SUBSTITUTE(SUBSTITUTE(J104,"%","")," ",""))&lt;=0,"Not Started",IF(VALUE(SUBSTITUTE(SUBSTITUTE(J104,"%","")," ",""))&gt;=100,"Completed","In Progress")),"Not Started")</f>
        <v/>
      </c>
      <c r="J104" s="39" t="inlineStr">
        <is>
          <t>40.00%</t>
        </is>
      </c>
      <c r="K104" s="39" t="inlineStr">
        <is>
          <t>low</t>
        </is>
      </c>
      <c r="L104" s="39" t="inlineStr">
        <is>
          <t>Rs.5000</t>
        </is>
      </c>
      <c r="M104" s="39">
        <f>IF(H104="","",H104*8)</f>
        <v/>
      </c>
      <c r="N104" s="41">
        <f>IF(OR(L104="",H104=""),"",L104*H104)</f>
        <v/>
      </c>
      <c r="O104" s="39" t="inlineStr">
        <is>
          <t>Check formula</t>
        </is>
      </c>
    </row>
    <row r="105" ht="15" customHeight="1" s="203">
      <c r="A105" s="42" t="n">
        <v>102</v>
      </c>
      <c r="B105" s="43" t="inlineStr">
        <is>
          <t>Trim Extra Spaces — Customer Name Import</t>
        </is>
      </c>
      <c r="C105" s="42" t="inlineStr">
        <is>
          <t>Phase 2</t>
        </is>
      </c>
      <c r="D105" s="42" t="inlineStr">
        <is>
          <t>ROHIT GUPTA</t>
        </is>
      </c>
      <c r="E105" s="42" t="inlineStr">
        <is>
          <t>Business Intel.</t>
        </is>
      </c>
      <c r="F105" s="42" t="inlineStr">
        <is>
          <t>15-01-2024</t>
        </is>
      </c>
      <c r="G105" s="42" t="n"/>
      <c r="H105" s="42">
        <f>IF(OR(F105="",G105=""),"",G105-F105)</f>
        <v/>
      </c>
      <c r="I105" s="42">
        <f>IFERROR(IF(VALUE(SUBSTITUTE(SUBSTITUTE(J105,"%","")," ",""))&lt;=0,"Not Started",IF(VALUE(SUBSTITUTE(SUBSTITUTE(J105,"%","")," ",""))&gt;=100,"Completed","In Progress")),"Not Started")</f>
        <v/>
      </c>
      <c r="J105" s="42" t="inlineStr">
        <is>
          <t>50.00%</t>
        </is>
      </c>
      <c r="K105" s="42" t="inlineStr">
        <is>
          <t>LOW</t>
        </is>
      </c>
      <c r="L105" s="42" t="inlineStr">
        <is>
          <t>₹4200</t>
        </is>
      </c>
      <c r="M105" s="42">
        <f>IF(H105="","",H105*8)</f>
        <v/>
      </c>
      <c r="N105" s="44">
        <f>IF(OR(L105="",H105=""),"",L105*H105)</f>
        <v/>
      </c>
      <c r="O105" s="42" t="inlineStr">
        <is>
          <t>—</t>
        </is>
      </c>
    </row>
    <row r="106" ht="15" customHeight="1" s="203">
      <c r="A106" s="39" t="n">
        <v>103</v>
      </c>
      <c r="B106" s="40" t="inlineStr">
        <is>
          <t>Standardize Text Case — Region Codes</t>
        </is>
      </c>
      <c r="C106" s="39" t="inlineStr">
        <is>
          <t>PHASE3</t>
        </is>
      </c>
      <c r="D106" s="39" t="inlineStr">
        <is>
          <t>Priya Sharma</t>
        </is>
      </c>
      <c r="E106" s="39" t="inlineStr">
        <is>
          <t>Data Platform</t>
        </is>
      </c>
      <c r="F106" s="39" t="inlineStr">
        <is>
          <t>28-02-2024</t>
        </is>
      </c>
      <c r="G106" s="39" t="n"/>
      <c r="H106" s="39">
        <f>IF(OR(F106="",G106=""),"",G106-F106)</f>
        <v/>
      </c>
      <c r="I106" s="39">
        <f>IFERROR(IF(VALUE(SUBSTITUTE(SUBSTITUTE(J106,"%","")," ",""))&lt;=0,"Not Started",IF(VALUE(SUBSTITUTE(SUBSTITUTE(J106,"%","")," ",""))&gt;=100,"Completed","In Progress")),"Not Started")</f>
        <v/>
      </c>
      <c r="J106" s="39" t="inlineStr">
        <is>
          <t>75 %</t>
        </is>
      </c>
      <c r="K106" s="39" t="inlineStr">
        <is>
          <t>Low</t>
        </is>
      </c>
      <c r="L106" s="39" t="inlineStr">
        <is>
          <t>Rs.5000</t>
        </is>
      </c>
      <c r="M106" s="39">
        <f>IF(H106="","",H106*8)</f>
        <v/>
      </c>
      <c r="N106" s="41">
        <f>IF(OR(L106="",H106=""),"",L106*H106)</f>
        <v/>
      </c>
      <c r="O106" s="39" t="inlineStr">
        <is>
          <t>Pending review</t>
        </is>
      </c>
    </row>
    <row r="107" ht="15" customHeight="1" s="203">
      <c r="A107" s="42" t="n">
        <v>104</v>
      </c>
      <c r="B107" s="43" t="inlineStr">
        <is>
          <t>Fix Date Formats — Legacy System Dates</t>
        </is>
      </c>
      <c r="C107" s="42" t="inlineStr">
        <is>
          <t>phase 4</t>
        </is>
      </c>
      <c r="D107" s="42" t="inlineStr">
        <is>
          <t>Amit Roy</t>
        </is>
      </c>
      <c r="E107" s="42" t="inlineStr">
        <is>
          <t>Quality Assur.</t>
        </is>
      </c>
      <c r="F107" s="42" t="inlineStr">
        <is>
          <t>2024-06-18</t>
        </is>
      </c>
      <c r="G107" s="42" t="n"/>
      <c r="H107" s="42">
        <f>IF(OR(F107="",G107=""),"",G107-F107)</f>
        <v/>
      </c>
      <c r="I107" s="42">
        <f>IFERROR(IF(VALUE(SUBSTITUTE(SUBSTITUTE(J107,"%","")," ",""))&lt;=0,"Not Started",IF(VALUE(SUBSTITUTE(SUBSTITUTE(J107,"%","")," ",""))&gt;=100,"Completed","In Progress")),"Not Started")</f>
        <v/>
      </c>
      <c r="J107" s="42" t="inlineStr">
        <is>
          <t>65.00%</t>
        </is>
      </c>
      <c r="K107" s="42" t="inlineStr">
        <is>
          <t>HIGH</t>
        </is>
      </c>
      <c r="L107" s="42" t="inlineStr">
        <is>
          <t xml:space="preserve">  ₹2,000  </t>
        </is>
      </c>
      <c r="M107" s="42">
        <f>IF(H107="","",H107*8)</f>
        <v/>
      </c>
      <c r="N107" s="44">
        <f>IF(OR(L107="",H107=""),"",L107*H107)</f>
        <v/>
      </c>
      <c r="O107" s="42" t="inlineStr">
        <is>
          <t>Check formula</t>
        </is>
      </c>
    </row>
    <row r="108" ht="15" customHeight="1" s="203">
      <c r="A108" s="39" t="n">
        <v>105</v>
      </c>
      <c r="B108" s="40" t="inlineStr">
        <is>
          <t>Handle Missing Values — Customer Database</t>
        </is>
      </c>
      <c r="C108" s="39" t="inlineStr">
        <is>
          <t>PHASE1</t>
        </is>
      </c>
      <c r="D108" s="39" t="inlineStr">
        <is>
          <t>Amit Roy</t>
        </is>
      </c>
      <c r="E108" s="39" t="inlineStr">
        <is>
          <t>PMO</t>
        </is>
      </c>
      <c r="F108" s="39" t="inlineStr">
        <is>
          <t>04-02-2024</t>
        </is>
      </c>
      <c r="G108" s="39" t="n"/>
      <c r="H108" s="39">
        <f>IF(OR(F108="",G108=""),"",G108-F108)</f>
        <v/>
      </c>
      <c r="I108" s="39">
        <f>IFERROR(IF(VALUE(SUBSTITUTE(SUBSTITUTE(J108,"%","")," ",""))&lt;=0,"Not Started",IF(VALUE(SUBSTITUTE(SUBSTITUTE(J108,"%","")," ",""))&gt;=100,"Completed","In Progress")),"Not Started")</f>
        <v/>
      </c>
      <c r="J108" s="39" t="inlineStr">
        <is>
          <t>0%</t>
        </is>
      </c>
      <c r="K108" s="39" t="inlineStr">
        <is>
          <t>CRITICAL</t>
        </is>
      </c>
      <c r="L108" s="39" t="inlineStr">
        <is>
          <t>Rs.5000</t>
        </is>
      </c>
      <c r="M108" s="39">
        <f>IF(H108="","",H108*8)</f>
        <v/>
      </c>
      <c r="N108" s="41">
        <f>IF(OR(L108="",H108=""),"",L108*H108)</f>
        <v/>
      </c>
      <c r="O108" s="39" t="inlineStr">
        <is>
          <t>Needs validation</t>
        </is>
      </c>
    </row>
    <row r="109" ht="15" customHeight="1" s="203">
      <c r="A109" s="42" t="n">
        <v>106</v>
      </c>
      <c r="B109" s="43" t="inlineStr">
        <is>
          <t>Split Combined Columns — Contact Database</t>
        </is>
      </c>
      <c r="C109" s="42" t="inlineStr">
        <is>
          <t>PHASE 2</t>
        </is>
      </c>
      <c r="D109" s="42" t="inlineStr">
        <is>
          <t xml:space="preserve">  Rahul Mehta  </t>
        </is>
      </c>
      <c r="E109" s="42" t="inlineStr">
        <is>
          <t>BI &amp; Analytics</t>
        </is>
      </c>
      <c r="F109" s="42" t="inlineStr">
        <is>
          <t>05/19/2024</t>
        </is>
      </c>
      <c r="G109" s="42" t="n"/>
      <c r="H109" s="42">
        <f>IF(OR(F109="",G109=""),"",G109-F109)</f>
        <v/>
      </c>
      <c r="I109" s="42">
        <f>IFERROR(IF(VALUE(SUBSTITUTE(SUBSTITUTE(J109,"%","")," ",""))&lt;=0,"Not Started",IF(VALUE(SUBSTITUTE(SUBSTITUTE(J109,"%","")," ",""))&gt;=100,"Completed","In Progress")),"Not Started")</f>
        <v/>
      </c>
      <c r="J109" s="42" t="inlineStr">
        <is>
          <t>0.00%</t>
        </is>
      </c>
      <c r="K109" s="42" t="inlineStr">
        <is>
          <t>CRITICAL</t>
        </is>
      </c>
      <c r="L109" s="42" t="inlineStr">
        <is>
          <t xml:space="preserve">  ₹2,000  </t>
        </is>
      </c>
      <c r="M109" s="42">
        <f>IF(H109="","",H109*8)</f>
        <v/>
      </c>
      <c r="N109" s="44">
        <f>IF(OR(L109="",H109=""),"",L109*H109)</f>
        <v/>
      </c>
      <c r="O109" s="42" t="inlineStr">
        <is>
          <t>—</t>
        </is>
      </c>
    </row>
    <row r="110" ht="15" customHeight="1" s="203">
      <c r="A110" s="39" t="n">
        <v>107</v>
      </c>
      <c r="B110" s="40" t="inlineStr">
        <is>
          <t>Remove Non-Numeric Chars — Revenue Data</t>
        </is>
      </c>
      <c r="C110" s="39" t="inlineStr">
        <is>
          <t>Phase 3</t>
        </is>
      </c>
      <c r="D110" s="39" t="inlineStr">
        <is>
          <t>deepa krishnan</t>
        </is>
      </c>
      <c r="E110" s="39" t="inlineStr">
        <is>
          <t>BUSINESS INTEL.</t>
        </is>
      </c>
      <c r="F110" s="39" t="inlineStr">
        <is>
          <t>2024-03-17</t>
        </is>
      </c>
      <c r="G110" s="39" t="n"/>
      <c r="H110" s="39">
        <f>IF(OR(F110="",G110=""),"",G110-F110)</f>
        <v/>
      </c>
      <c r="I110" s="39">
        <f>IFERROR(IF(VALUE(SUBSTITUTE(SUBSTITUTE(J110,"%","")," ",""))&lt;=0,"Not Started",IF(VALUE(SUBSTITUTE(SUBSTITUTE(J110,"%","")," ",""))&gt;=100,"Completed","In Progress")),"Not Started")</f>
        <v/>
      </c>
      <c r="J110" s="39" t="inlineStr">
        <is>
          <t>75%</t>
        </is>
      </c>
      <c r="K110" s="39" t="inlineStr">
        <is>
          <t>MEDIUM</t>
        </is>
      </c>
      <c r="L110" s="39" t="inlineStr">
        <is>
          <t>Rs. 3,500</t>
        </is>
      </c>
      <c r="M110" s="39">
        <f>IF(H110="","",H110*8)</f>
        <v/>
      </c>
      <c r="N110" s="41">
        <f>IF(OR(L110="",H110=""),"",L110*H110)</f>
        <v/>
      </c>
      <c r="O110" s="39" t="inlineStr">
        <is>
          <t>Pending review</t>
        </is>
      </c>
    </row>
    <row r="111" ht="15" customHeight="1" s="203">
      <c r="A111" s="42" t="n">
        <v>108</v>
      </c>
      <c r="B111" s="43" t="inlineStr">
        <is>
          <t>Validate Data Ranges — HR Age Dataset</t>
        </is>
      </c>
      <c r="C111" s="42" t="inlineStr">
        <is>
          <t>Phase 4</t>
        </is>
      </c>
      <c r="D111" s="42" t="inlineStr">
        <is>
          <t>Sunita Verma</t>
        </is>
      </c>
      <c r="E111" s="42" t="inlineStr">
        <is>
          <t>DATA PLATFORM</t>
        </is>
      </c>
      <c r="F111" s="42" t="inlineStr">
        <is>
          <t>01/03/2024</t>
        </is>
      </c>
      <c r="G111" s="42" t="n"/>
      <c r="H111" s="42">
        <f>IF(OR(F111="",G111=""),"",G111-F111)</f>
        <v/>
      </c>
      <c r="I111" s="42">
        <f>IFERROR(IF(VALUE(SUBSTITUTE(SUBSTITUTE(J111,"%","")," ",""))&lt;=0,"Not Started",IF(VALUE(SUBSTITUTE(SUBSTITUTE(J111,"%","")," ",""))&gt;=100,"Completed","In Progress")),"Not Started")</f>
        <v/>
      </c>
      <c r="J111" s="42" t="inlineStr">
        <is>
          <t>100.00%</t>
        </is>
      </c>
      <c r="K111" s="42" t="inlineStr">
        <is>
          <t>Critical</t>
        </is>
      </c>
      <c r="L111" s="42" t="inlineStr">
        <is>
          <t xml:space="preserve">  ₹2,000  </t>
        </is>
      </c>
      <c r="M111" s="42">
        <f>IF(H111="","",H111*8)</f>
        <v/>
      </c>
      <c r="N111" s="44">
        <f>IF(OR(L111="",H111=""),"",L111*H111)</f>
        <v/>
      </c>
      <c r="O111" s="42" t="inlineStr">
        <is>
          <t>—</t>
        </is>
      </c>
    </row>
    <row r="112" ht="15" customHeight="1" s="203">
      <c r="A112" s="39" t="n">
        <v>109</v>
      </c>
      <c r="B112" s="40" t="inlineStr">
        <is>
          <t>Standardize Category Labels — Product SKU</t>
        </is>
      </c>
      <c r="C112" s="39" t="inlineStr">
        <is>
          <t>PHASE 1</t>
        </is>
      </c>
      <c r="D112" s="39" t="inlineStr">
        <is>
          <t>Deepa Krishnan</t>
        </is>
      </c>
      <c r="E112" s="39" t="inlineStr">
        <is>
          <t>QUALITY ASSUR.</t>
        </is>
      </c>
      <c r="F112" s="39" t="inlineStr">
        <is>
          <t>2024-06-14</t>
        </is>
      </c>
      <c r="G112" s="39" t="n"/>
      <c r="H112" s="39">
        <f>IF(OR(F112="",G112=""),"",G112-F112)</f>
        <v/>
      </c>
      <c r="I112" s="39">
        <f>IFERROR(IF(VALUE(SUBSTITUTE(SUBSTITUTE(J112,"%","")," ",""))&lt;=0,"Not Started",IF(VALUE(SUBSTITUTE(SUBSTITUTE(J112,"%","")," ",""))&gt;=100,"Completed","In Progress")),"Not Started")</f>
        <v/>
      </c>
      <c r="J112" s="39" t="inlineStr">
        <is>
          <t>75.00%</t>
        </is>
      </c>
      <c r="K112" s="39" t="inlineStr">
        <is>
          <t>low</t>
        </is>
      </c>
      <c r="L112" s="39" t="inlineStr">
        <is>
          <t>Rs. 4,000</t>
        </is>
      </c>
      <c r="M112" s="39">
        <f>IF(H112="","",H112*8)</f>
        <v/>
      </c>
      <c r="N112" s="41">
        <f>IF(OR(L112="",H112=""),"",L112*H112)</f>
        <v/>
      </c>
      <c r="O112" s="39" t="inlineStr">
        <is>
          <t>Flag for QA</t>
        </is>
      </c>
    </row>
    <row r="113" ht="15" customHeight="1" s="203">
      <c r="A113" s="42" t="n">
        <v>110</v>
      </c>
      <c r="B113" s="43" t="inlineStr">
        <is>
          <t>Combine &amp; Reconcile Columns — Address</t>
        </is>
      </c>
      <c r="C113" s="42" t="inlineStr">
        <is>
          <t>PHASE2</t>
        </is>
      </c>
      <c r="D113" s="42" t="inlineStr">
        <is>
          <t>KARAN MALHOTRA</t>
        </is>
      </c>
      <c r="E113" s="42" t="inlineStr">
        <is>
          <t>PMO</t>
        </is>
      </c>
      <c r="F113" s="42" t="inlineStr">
        <is>
          <t>28-02-2024</t>
        </is>
      </c>
      <c r="G113" s="42" t="n"/>
      <c r="H113" s="42">
        <f>IF(OR(F113="",G113=""),"",G113-F113)</f>
        <v/>
      </c>
      <c r="I113" s="42">
        <f>IFERROR(IF(VALUE(SUBSTITUTE(SUBSTITUTE(J113,"%","")," ",""))&lt;=0,"Not Started",IF(VALUE(SUBSTITUTE(SUBSTITUTE(J113,"%","")," ",""))&gt;=100,"Completed","In Progress")),"Not Started")</f>
        <v/>
      </c>
      <c r="J113" s="42" t="inlineStr">
        <is>
          <t>0</t>
        </is>
      </c>
      <c r="K113" s="42" t="inlineStr">
        <is>
          <t>LOW</t>
        </is>
      </c>
      <c r="L113" s="42" t="inlineStr">
        <is>
          <t>3000</t>
        </is>
      </c>
      <c r="M113" s="42">
        <f>IF(H113="","",H113*8)</f>
        <v/>
      </c>
      <c r="N113" s="44">
        <f>IF(OR(L113="",H113=""),"",L113*H113)</f>
        <v/>
      </c>
      <c r="O113" s="42" t="inlineStr">
        <is>
          <t>Needs validation</t>
        </is>
      </c>
    </row>
    <row r="114" ht="15" customHeight="1" s="203">
      <c r="A114" s="39" t="n">
        <v>111</v>
      </c>
      <c r="B114" s="40" t="inlineStr">
        <is>
          <t>Remove Duplicates — CRM Export Cleaning</t>
        </is>
      </c>
      <c r="C114" s="39" t="inlineStr">
        <is>
          <t>PHASE 3</t>
        </is>
      </c>
      <c r="D114" s="39" t="inlineStr">
        <is>
          <t>deepa krishnan</t>
        </is>
      </c>
      <c r="E114" s="39" t="inlineStr">
        <is>
          <t>bi &amp; analytics</t>
        </is>
      </c>
      <c r="F114" s="39" t="inlineStr">
        <is>
          <t>12-02-2024</t>
        </is>
      </c>
      <c r="G114" s="39" t="n"/>
      <c r="H114" s="39">
        <f>IF(OR(F114="",G114=""),"",G114-F114)</f>
        <v/>
      </c>
      <c r="I114" s="39">
        <f>IFERROR(IF(VALUE(SUBSTITUTE(SUBSTITUTE(J114,"%","")," ",""))&lt;=0,"Not Started",IF(VALUE(SUBSTITUTE(SUBSTITUTE(J114,"%","")," ",""))&gt;=100,"Completed","In Progress")),"Not Started")</f>
        <v/>
      </c>
      <c r="J114" s="39" t="inlineStr">
        <is>
          <t>25.00%</t>
        </is>
      </c>
      <c r="K114" s="39" t="inlineStr">
        <is>
          <t>high</t>
        </is>
      </c>
      <c r="L114" s="39" t="inlineStr">
        <is>
          <t>Rs.5000</t>
        </is>
      </c>
      <c r="M114" s="39">
        <f>IF(H114="","",H114*8)</f>
        <v/>
      </c>
      <c r="N114" s="41">
        <f>IF(OR(L114="",H114=""),"",L114*H114)</f>
        <v/>
      </c>
      <c r="O114" s="39" t="inlineStr">
        <is>
          <t>Re-run TRIM</t>
        </is>
      </c>
    </row>
    <row r="115" ht="15" customHeight="1" s="203">
      <c r="A115" s="42" t="n">
        <v>112</v>
      </c>
      <c r="B115" s="43" t="inlineStr">
        <is>
          <t>Trim Extra Spaces — Customer Name Import</t>
        </is>
      </c>
      <c r="C115" s="42" t="inlineStr">
        <is>
          <t>Phase 4</t>
        </is>
      </c>
      <c r="D115" s="42" t="inlineStr">
        <is>
          <t>Neha Joshi</t>
        </is>
      </c>
      <c r="E115" s="42" t="inlineStr">
        <is>
          <t>Business Intel.</t>
        </is>
      </c>
      <c r="F115" s="42" t="inlineStr">
        <is>
          <t>2024-04-12</t>
        </is>
      </c>
      <c r="G115" s="42" t="n"/>
      <c r="H115" s="42">
        <f>IF(OR(F115="",G115=""),"",G115-F115)</f>
        <v/>
      </c>
      <c r="I115" s="42">
        <f>IFERROR(IF(VALUE(SUBSTITUTE(SUBSTITUTE(J115,"%","")," ",""))&lt;=0,"Not Started",IF(VALUE(SUBSTITUTE(SUBSTITUTE(J115,"%","")," ",""))&gt;=100,"Completed","In Progress")),"Not Started")</f>
        <v/>
      </c>
      <c r="J115" s="42" t="inlineStr">
        <is>
          <t>100.00%</t>
        </is>
      </c>
      <c r="K115" s="42" t="inlineStr">
        <is>
          <t>critical</t>
        </is>
      </c>
      <c r="L115" s="42" t="inlineStr">
        <is>
          <t>Rs. 4,000</t>
        </is>
      </c>
      <c r="M115" s="42">
        <f>IF(H115="","",H115*8)</f>
        <v/>
      </c>
      <c r="N115" s="44">
        <f>IF(OR(L115="",H115=""),"",L115*H115)</f>
        <v/>
      </c>
      <c r="O115" s="42" t="inlineStr">
        <is>
          <t>—</t>
        </is>
      </c>
    </row>
    <row r="116" ht="15" customHeight="1" s="203">
      <c r="A116" s="39" t="n">
        <v>113</v>
      </c>
      <c r="B116" s="40" t="inlineStr">
        <is>
          <t>Standardize Text Case — Region Codes</t>
        </is>
      </c>
      <c r="C116" s="39" t="inlineStr">
        <is>
          <t>PHASE1</t>
        </is>
      </c>
      <c r="D116" s="39" t="inlineStr">
        <is>
          <t xml:space="preserve">  Neha Joshi  </t>
        </is>
      </c>
      <c r="E116" s="39" t="inlineStr">
        <is>
          <t>data platform</t>
        </is>
      </c>
      <c r="F116" s="39" t="inlineStr">
        <is>
          <t>2024-01-09</t>
        </is>
      </c>
      <c r="G116" s="39" t="n"/>
      <c r="H116" s="39">
        <f>IF(OR(F116="",G116=""),"",G116-F116)</f>
        <v/>
      </c>
      <c r="I116" s="39">
        <f>IFERROR(IF(VALUE(SUBSTITUTE(SUBSTITUTE(J116,"%","")," ",""))&lt;=0,"Not Started",IF(VALUE(SUBSTITUTE(SUBSTITUTE(J116,"%","")," ",""))&gt;=100,"Completed","In Progress")),"Not Started")</f>
        <v/>
      </c>
      <c r="J116" s="39" t="inlineStr">
        <is>
          <t>100 %</t>
        </is>
      </c>
      <c r="K116" s="39" t="inlineStr">
        <is>
          <t>LOW</t>
        </is>
      </c>
      <c r="L116" s="39" t="inlineStr">
        <is>
          <t>Rs.5000</t>
        </is>
      </c>
      <c r="M116" s="39">
        <f>IF(H116="","",H116*8)</f>
        <v/>
      </c>
      <c r="N116" s="41">
        <f>IF(OR(L116="",H116=""),"",L116*H116)</f>
        <v/>
      </c>
      <c r="O116" s="39" t="inlineStr">
        <is>
          <t>Needs validation</t>
        </is>
      </c>
    </row>
    <row r="117" ht="15" customHeight="1" s="203">
      <c r="A117" s="42" t="n">
        <v>114</v>
      </c>
      <c r="B117" s="43" t="inlineStr">
        <is>
          <t>Fix Date Formats — Legacy System Dates</t>
        </is>
      </c>
      <c r="C117" s="42" t="inlineStr">
        <is>
          <t>PHASE2</t>
        </is>
      </c>
      <c r="D117" s="42" t="inlineStr">
        <is>
          <t>Meera Pillai</t>
        </is>
      </c>
      <c r="E117" s="42" t="inlineStr">
        <is>
          <t>Quality Assur.</t>
        </is>
      </c>
      <c r="F117" s="42" t="inlineStr">
        <is>
          <t>2024-01-27</t>
        </is>
      </c>
      <c r="G117" s="42" t="n"/>
      <c r="H117" s="42">
        <f>IF(OR(F117="",G117=""),"",G117-F117)</f>
        <v/>
      </c>
      <c r="I117" s="42">
        <f>IFERROR(IF(VALUE(SUBSTITUTE(SUBSTITUTE(J117,"%","")," ",""))&lt;=0,"Not Started",IF(VALUE(SUBSTITUTE(SUBSTITUTE(J117,"%","")," ",""))&gt;=100,"Completed","In Progress")),"Not Started")</f>
        <v/>
      </c>
      <c r="J117" s="42" t="inlineStr">
        <is>
          <t>50.00%</t>
        </is>
      </c>
      <c r="K117" s="42" t="inlineStr">
        <is>
          <t>critical</t>
        </is>
      </c>
      <c r="L117" s="42" t="inlineStr">
        <is>
          <t>₹4200</t>
        </is>
      </c>
      <c r="M117" s="42">
        <f>IF(H117="","",H117*8)</f>
        <v/>
      </c>
      <c r="N117" s="44">
        <f>IF(OR(L117="",H117=""),"",L117*H117)</f>
        <v/>
      </c>
      <c r="O117" s="42" t="inlineStr">
        <is>
          <t>Flag for QA</t>
        </is>
      </c>
    </row>
    <row r="118" ht="15" customHeight="1" s="203">
      <c r="A118" s="39" t="n">
        <v>115</v>
      </c>
      <c r="B118" s="40" t="inlineStr">
        <is>
          <t>Handle Missing Values — Customer Database</t>
        </is>
      </c>
      <c r="C118" s="39" t="inlineStr">
        <is>
          <t>PHASE3</t>
        </is>
      </c>
      <c r="D118" s="39" t="inlineStr">
        <is>
          <t>Siddharth Rao</t>
        </is>
      </c>
      <c r="E118" s="39" t="inlineStr">
        <is>
          <t>PMO</t>
        </is>
      </c>
      <c r="F118" s="39" t="inlineStr">
        <is>
          <t>10-02-2024</t>
        </is>
      </c>
      <c r="G118" s="39" t="n"/>
      <c r="H118" s="39">
        <f>IF(OR(F118="",G118=""),"",G118-F118)</f>
        <v/>
      </c>
      <c r="I118" s="39">
        <f>IFERROR(IF(VALUE(SUBSTITUTE(SUBSTITUTE(J118,"%","")," ",""))&lt;=0,"Not Started",IF(VALUE(SUBSTITUTE(SUBSTITUTE(J118,"%","")," ",""))&gt;=100,"Completed","In Progress")),"Not Started")</f>
        <v/>
      </c>
      <c r="J118" s="39" t="inlineStr">
        <is>
          <t>25%</t>
        </is>
      </c>
      <c r="K118" s="39" t="inlineStr">
        <is>
          <t>Low</t>
        </is>
      </c>
      <c r="L118" s="39" t="inlineStr">
        <is>
          <t>Rs. 4,000</t>
        </is>
      </c>
      <c r="M118" s="39">
        <f>IF(H118="","",H118*8)</f>
        <v/>
      </c>
      <c r="N118" s="41">
        <f>IF(OR(L118="",H118=""),"",L118*H118)</f>
        <v/>
      </c>
      <c r="O118" s="39" t="inlineStr">
        <is>
          <t>Minor inconsistency</t>
        </is>
      </c>
    </row>
    <row r="119" ht="15" customHeight="1" s="203">
      <c r="A119" s="42" t="n">
        <v>116</v>
      </c>
      <c r="B119" s="43" t="inlineStr">
        <is>
          <t>Split Combined Columns — Contact Database</t>
        </is>
      </c>
      <c r="C119" s="42" t="inlineStr">
        <is>
          <t>phase 4</t>
        </is>
      </c>
      <c r="D119" s="42" t="inlineStr">
        <is>
          <t>Ananya Singh</t>
        </is>
      </c>
      <c r="E119" s="42" t="inlineStr">
        <is>
          <t>BI &amp; ANALYTICS</t>
        </is>
      </c>
      <c r="F119" s="42" t="inlineStr">
        <is>
          <t>17-05-2024</t>
        </is>
      </c>
      <c r="G119" s="42" t="n"/>
      <c r="H119" s="42">
        <f>IF(OR(F119="",G119=""),"",G119-F119)</f>
        <v/>
      </c>
      <c r="I119" s="42">
        <f>IFERROR(IF(VALUE(SUBSTITUTE(SUBSTITUTE(J119,"%","")," ",""))&lt;=0,"Not Started",IF(VALUE(SUBSTITUTE(SUBSTITUTE(J119,"%","")," ",""))&gt;=100,"Completed","In Progress")),"Not Started")</f>
        <v/>
      </c>
      <c r="J119" s="42" t="inlineStr">
        <is>
          <t>50.00%</t>
        </is>
      </c>
      <c r="K119" s="42" t="inlineStr">
        <is>
          <t>LOW</t>
        </is>
      </c>
      <c r="L119" s="42" t="inlineStr">
        <is>
          <t>Rs. 4,000</t>
        </is>
      </c>
      <c r="M119" s="42">
        <f>IF(H119="","",H119*8)</f>
        <v/>
      </c>
      <c r="N119" s="44">
        <f>IF(OR(L119="",H119=""),"",L119*H119)</f>
        <v/>
      </c>
      <c r="O119" s="42" t="inlineStr">
        <is>
          <t>Check formula</t>
        </is>
      </c>
    </row>
    <row r="120" ht="15" customHeight="1" s="203">
      <c r="A120" s="39" t="n">
        <v>117</v>
      </c>
      <c r="B120" s="40" t="inlineStr">
        <is>
          <t>Remove Non-Numeric Chars — Revenue Data</t>
        </is>
      </c>
      <c r="C120" s="39" t="inlineStr">
        <is>
          <t>PHASE1</t>
        </is>
      </c>
      <c r="D120" s="39" t="inlineStr">
        <is>
          <t>ROHIT GUPTA</t>
        </is>
      </c>
      <c r="E120" s="39" t="inlineStr">
        <is>
          <t>BUSINESS INTEL.</t>
        </is>
      </c>
      <c r="F120" s="39" t="inlineStr">
        <is>
          <t>03/05/2024</t>
        </is>
      </c>
      <c r="G120" s="39" t="n"/>
      <c r="H120" s="39">
        <f>IF(OR(F120="",G120=""),"",G120-F120)</f>
        <v/>
      </c>
      <c r="I120" s="39">
        <f>IFERROR(IF(VALUE(SUBSTITUTE(SUBSTITUTE(J120,"%","")," ",""))&lt;=0,"Not Started",IF(VALUE(SUBSTITUTE(SUBSTITUTE(J120,"%","")," ",""))&gt;=100,"Completed","In Progress")),"Not Started")</f>
        <v/>
      </c>
      <c r="J120" s="39" t="inlineStr">
        <is>
          <t>40.00%</t>
        </is>
      </c>
      <c r="K120" s="39" t="inlineStr">
        <is>
          <t>Critical</t>
        </is>
      </c>
      <c r="L120" s="39" t="inlineStr">
        <is>
          <t>3000</t>
        </is>
      </c>
      <c r="M120" s="39">
        <f>IF(H120="","",H120*8)</f>
        <v/>
      </c>
      <c r="N120" s="41">
        <f>IF(OR(L120="",H120=""),"",L120*H120)</f>
        <v/>
      </c>
      <c r="O120" s="39" t="inlineStr">
        <is>
          <t>Verified OK</t>
        </is>
      </c>
    </row>
    <row r="121" ht="15" customHeight="1" s="203">
      <c r="A121" s="42" t="n">
        <v>118</v>
      </c>
      <c r="B121" s="43" t="inlineStr">
        <is>
          <t>Validate Data Ranges — HR Age Dataset</t>
        </is>
      </c>
      <c r="C121" s="42" t="inlineStr">
        <is>
          <t>phase 2</t>
        </is>
      </c>
      <c r="D121" s="42" t="inlineStr">
        <is>
          <t>rohit gupta</t>
        </is>
      </c>
      <c r="E121" s="42" t="inlineStr">
        <is>
          <t>DATA PLATFORM</t>
        </is>
      </c>
      <c r="F121" s="42" t="inlineStr">
        <is>
          <t>01-01-2024</t>
        </is>
      </c>
      <c r="G121" s="42" t="n"/>
      <c r="H121" s="42">
        <f>IF(OR(F121="",G121=""),"",G121-F121)</f>
        <v/>
      </c>
      <c r="I121" s="42">
        <f>IFERROR(IF(VALUE(SUBSTITUTE(SUBSTITUTE(J121,"%","")," ",""))&lt;=0,"Not Started",IF(VALUE(SUBSTITUTE(SUBSTITUTE(J121,"%","")," ",""))&gt;=100,"Completed","In Progress")),"Not Started")</f>
        <v/>
      </c>
      <c r="J121" s="42" t="inlineStr">
        <is>
          <t>25</t>
        </is>
      </c>
      <c r="K121" s="42" t="inlineStr">
        <is>
          <t>medium</t>
        </is>
      </c>
      <c r="L121" s="42" t="inlineStr">
        <is>
          <t xml:space="preserve">  ₹2,000  </t>
        </is>
      </c>
      <c r="M121" s="42">
        <f>IF(H121="","",H121*8)</f>
        <v/>
      </c>
      <c r="N121" s="44">
        <f>IF(OR(L121="",H121=""),"",L121*H121)</f>
        <v/>
      </c>
      <c r="O121" s="42" t="inlineStr">
        <is>
          <t>Re-run TRIM</t>
        </is>
      </c>
    </row>
    <row r="122" ht="15" customHeight="1" s="203">
      <c r="A122" s="39" t="n">
        <v>119</v>
      </c>
      <c r="B122" s="40" t="inlineStr">
        <is>
          <t>Standardize Category Labels — Product SKU</t>
        </is>
      </c>
      <c r="C122" s="39" t="inlineStr">
        <is>
          <t>phase 3</t>
        </is>
      </c>
      <c r="D122" s="39" t="inlineStr">
        <is>
          <t>PRIYA SHARMA</t>
        </is>
      </c>
      <c r="E122" s="39" t="inlineStr">
        <is>
          <t>QUALITY ASSUR.</t>
        </is>
      </c>
      <c r="F122" s="39" t="inlineStr">
        <is>
          <t>15-05-2024</t>
        </is>
      </c>
      <c r="G122" s="39" t="n"/>
      <c r="H122" s="39">
        <f>IF(OR(F122="",G122=""),"",G122-F122)</f>
        <v/>
      </c>
      <c r="I122" s="39">
        <f>IFERROR(IF(VALUE(SUBSTITUTE(SUBSTITUTE(J122,"%","")," ",""))&lt;=0,"Not Started",IF(VALUE(SUBSTITUTE(SUBSTITUTE(J122,"%","")," ",""))&gt;=100,"Completed","In Progress")),"Not Started")</f>
        <v/>
      </c>
      <c r="J122" s="39" t="inlineStr">
        <is>
          <t>100.00%</t>
        </is>
      </c>
      <c r="K122" s="39" t="inlineStr">
        <is>
          <t>MEDIUM</t>
        </is>
      </c>
      <c r="L122" s="39" t="inlineStr">
        <is>
          <t>₹4200</t>
        </is>
      </c>
      <c r="M122" s="39">
        <f>IF(H122="","",H122*8)</f>
        <v/>
      </c>
      <c r="N122" s="41">
        <f>IF(OR(L122="",H122=""),"",L122*H122)</f>
        <v/>
      </c>
      <c r="O122" s="39" t="inlineStr">
        <is>
          <t>Flag for QA</t>
        </is>
      </c>
    </row>
    <row r="123" ht="15" customHeight="1" s="203">
      <c r="A123" s="42" t="n">
        <v>120</v>
      </c>
      <c r="B123" s="43" t="inlineStr">
        <is>
          <t>Combine &amp; Reconcile Columns — Address</t>
        </is>
      </c>
      <c r="C123" s="42" t="inlineStr">
        <is>
          <t>Phase 4</t>
        </is>
      </c>
      <c r="D123" s="42" t="inlineStr">
        <is>
          <t>Lakshmi Nair</t>
        </is>
      </c>
      <c r="E123" s="42" t="inlineStr">
        <is>
          <t>PMO</t>
        </is>
      </c>
      <c r="F123" s="42" t="inlineStr">
        <is>
          <t>28-06-2024</t>
        </is>
      </c>
      <c r="G123" s="42" t="n"/>
      <c r="H123" s="42">
        <f>IF(OR(F123="",G123=""),"",G123-F123)</f>
        <v/>
      </c>
      <c r="I123" s="42">
        <f>IFERROR(IF(VALUE(SUBSTITUTE(SUBSTITUTE(J123,"%","")," ",""))&lt;=0,"Not Started",IF(VALUE(SUBSTITUTE(SUBSTITUTE(J123,"%","")," ",""))&gt;=100,"Completed","In Progress")),"Not Started")</f>
        <v/>
      </c>
      <c r="J123" s="42" t="inlineStr">
        <is>
          <t>100.00%</t>
        </is>
      </c>
      <c r="K123" s="42" t="inlineStr">
        <is>
          <t>High</t>
        </is>
      </c>
      <c r="L123" s="42" t="inlineStr">
        <is>
          <t>INR 5,500</t>
        </is>
      </c>
      <c r="M123" s="42">
        <f>IF(H123="","",H123*8)</f>
        <v/>
      </c>
      <c r="N123" s="44">
        <f>IF(OR(L123="",H123=""),"",L123*H123)</f>
        <v/>
      </c>
      <c r="O123" s="42" t="inlineStr">
        <is>
          <t>—</t>
        </is>
      </c>
    </row>
    <row r="124" ht="15" customHeight="1" s="203">
      <c r="A124" s="39" t="n">
        <v>121</v>
      </c>
      <c r="B124" s="40" t="inlineStr">
        <is>
          <t>Remove Duplicates — CRM Export Cleaning</t>
        </is>
      </c>
      <c r="C124" s="39" t="inlineStr">
        <is>
          <t>PHASE 1</t>
        </is>
      </c>
      <c r="D124" s="39" t="inlineStr">
        <is>
          <t>SUNITA VERMA</t>
        </is>
      </c>
      <c r="E124" s="39" t="inlineStr">
        <is>
          <t>bi &amp; analytics</t>
        </is>
      </c>
      <c r="F124" s="39" t="inlineStr">
        <is>
          <t>2024-03-17</t>
        </is>
      </c>
      <c r="G124" s="39" t="n"/>
      <c r="H124" s="39">
        <f>IF(OR(F124="",G124=""),"",G124-F124)</f>
        <v/>
      </c>
      <c r="I124" s="39">
        <f>IFERROR(IF(VALUE(SUBSTITUTE(SUBSTITUTE(J124,"%","")," ",""))&lt;=0,"Not Started",IF(VALUE(SUBSTITUTE(SUBSTITUTE(J124,"%","")," ",""))&gt;=100,"Completed","In Progress")),"Not Started")</f>
        <v/>
      </c>
      <c r="J124" s="39" t="inlineStr">
        <is>
          <t>50 %</t>
        </is>
      </c>
      <c r="K124" s="39" t="inlineStr">
        <is>
          <t>Medium</t>
        </is>
      </c>
      <c r="L124" s="39" t="inlineStr">
        <is>
          <t xml:space="preserve">  ₹2,000  </t>
        </is>
      </c>
      <c r="M124" s="39">
        <f>IF(H124="","",H124*8)</f>
        <v/>
      </c>
      <c r="N124" s="41">
        <f>IF(OR(L124="",H124=""),"",L124*H124)</f>
        <v/>
      </c>
      <c r="O124" s="39" t="inlineStr">
        <is>
          <t>—</t>
        </is>
      </c>
    </row>
    <row r="125" ht="15" customHeight="1" s="203">
      <c r="A125" s="42" t="n">
        <v>122</v>
      </c>
      <c r="B125" s="43" t="inlineStr">
        <is>
          <t>Trim Extra Spaces — Customer Name Import</t>
        </is>
      </c>
      <c r="C125" s="42" t="inlineStr">
        <is>
          <t>PHASE 2</t>
        </is>
      </c>
      <c r="D125" s="42" t="inlineStr">
        <is>
          <t>Rahul Mehta</t>
        </is>
      </c>
      <c r="E125" s="42" t="inlineStr">
        <is>
          <t>BUSINESS INTEL.</t>
        </is>
      </c>
      <c r="F125" s="42" t="inlineStr">
        <is>
          <t>26-02-2024</t>
        </is>
      </c>
      <c r="G125" s="42" t="n"/>
      <c r="H125" s="42">
        <f>IF(OR(F125="",G125=""),"",G125-F125)</f>
        <v/>
      </c>
      <c r="I125" s="42">
        <f>IFERROR(IF(VALUE(SUBSTITUTE(SUBSTITUTE(J125,"%","")," ",""))&lt;=0,"Not Started",IF(VALUE(SUBSTITUTE(SUBSTITUTE(J125,"%","")," ",""))&gt;=100,"Completed","In Progress")),"Not Started")</f>
        <v/>
      </c>
      <c r="J125" s="42" t="inlineStr">
        <is>
          <t>40</t>
        </is>
      </c>
      <c r="K125" s="42" t="inlineStr">
        <is>
          <t>Medium</t>
        </is>
      </c>
      <c r="L125" s="42" t="inlineStr">
        <is>
          <t>₹4200</t>
        </is>
      </c>
      <c r="M125" s="42">
        <f>IF(H125="","",H125*8)</f>
        <v/>
      </c>
      <c r="N125" s="44">
        <f>IF(OR(L125="",H125=""),"",L125*H125)</f>
        <v/>
      </c>
      <c r="O125" s="42" t="inlineStr">
        <is>
          <t>—</t>
        </is>
      </c>
    </row>
    <row r="126" ht="15" customHeight="1" s="203">
      <c r="A126" s="39" t="n">
        <v>123</v>
      </c>
      <c r="B126" s="40" t="inlineStr">
        <is>
          <t>Standardize Text Case — Region Codes</t>
        </is>
      </c>
      <c r="C126" s="39" t="inlineStr">
        <is>
          <t>PHASE3</t>
        </is>
      </c>
      <c r="D126" s="39" t="inlineStr">
        <is>
          <t>ARJUN PILLAI</t>
        </is>
      </c>
      <c r="E126" s="39" t="inlineStr">
        <is>
          <t>Data Platform</t>
        </is>
      </c>
      <c r="F126" s="39" t="inlineStr">
        <is>
          <t>01-05-2024</t>
        </is>
      </c>
      <c r="G126" s="39" t="n"/>
      <c r="H126" s="39">
        <f>IF(OR(F126="",G126=""),"",G126-F126)</f>
        <v/>
      </c>
      <c r="I126" s="39">
        <f>IFERROR(IF(VALUE(SUBSTITUTE(SUBSTITUTE(J126,"%","")," ",""))&lt;=0,"Not Started",IF(VALUE(SUBSTITUTE(SUBSTITUTE(J126,"%","")," ",""))&gt;=100,"Completed","In Progress")),"Not Started")</f>
        <v/>
      </c>
      <c r="J126" s="39" t="inlineStr">
        <is>
          <t>25%</t>
        </is>
      </c>
      <c r="K126" s="39" t="inlineStr">
        <is>
          <t>medium</t>
        </is>
      </c>
      <c r="L126" s="39" t="inlineStr">
        <is>
          <t>Rs.5000</t>
        </is>
      </c>
      <c r="M126" s="39">
        <f>IF(H126="","",H126*8)</f>
        <v/>
      </c>
      <c r="N126" s="41">
        <f>IF(OR(L126="",H126=""),"",L126*H126)</f>
        <v/>
      </c>
      <c r="O126" s="39" t="inlineStr">
        <is>
          <t>Verified OK</t>
        </is>
      </c>
    </row>
    <row r="127" ht="15" customHeight="1" s="203">
      <c r="A127" s="42" t="n">
        <v>124</v>
      </c>
      <c r="B127" s="43" t="inlineStr">
        <is>
          <t>Fix Date Formats — Legacy System Dates</t>
        </is>
      </c>
      <c r="C127" s="42" t="inlineStr">
        <is>
          <t>phase 4</t>
        </is>
      </c>
      <c r="D127" s="42" t="inlineStr">
        <is>
          <t>SUNITA VERMA</t>
        </is>
      </c>
      <c r="E127" s="42" t="inlineStr">
        <is>
          <t>quality assur.</t>
        </is>
      </c>
      <c r="F127" s="42" t="inlineStr">
        <is>
          <t>01/13/2024</t>
        </is>
      </c>
      <c r="G127" s="42" t="n"/>
      <c r="H127" s="42">
        <f>IF(OR(F127="",G127=""),"",G127-F127)</f>
        <v/>
      </c>
      <c r="I127" s="42">
        <f>IFERROR(IF(VALUE(SUBSTITUTE(SUBSTITUTE(J127,"%","")," ",""))&lt;=0,"Not Started",IF(VALUE(SUBSTITUTE(SUBSTITUTE(J127,"%","")," ",""))&gt;=100,"Completed","In Progress")),"Not Started")</f>
        <v/>
      </c>
      <c r="J127" s="42" t="inlineStr">
        <is>
          <t>40 %</t>
        </is>
      </c>
      <c r="K127" s="42" t="inlineStr">
        <is>
          <t>low</t>
        </is>
      </c>
      <c r="L127" s="42" t="inlineStr">
        <is>
          <t>Rs. 3,500</t>
        </is>
      </c>
      <c r="M127" s="42">
        <f>IF(H127="","",H127*8)</f>
        <v/>
      </c>
      <c r="N127" s="44">
        <f>IF(OR(L127="",H127=""),"",L127*H127)</f>
        <v/>
      </c>
      <c r="O127" s="42" t="inlineStr">
        <is>
          <t>Flag for QA</t>
        </is>
      </c>
    </row>
    <row r="128" ht="15" customHeight="1" s="203">
      <c r="A128" s="39" t="n">
        <v>125</v>
      </c>
      <c r="B128" s="40" t="inlineStr">
        <is>
          <t>Handle Missing Values — Customer Database</t>
        </is>
      </c>
      <c r="C128" s="39" t="inlineStr">
        <is>
          <t>phase 1</t>
        </is>
      </c>
      <c r="D128" s="39" t="inlineStr">
        <is>
          <t>vikram nair</t>
        </is>
      </c>
      <c r="E128" s="39" t="inlineStr">
        <is>
          <t>PMO</t>
        </is>
      </c>
      <c r="F128" s="39" t="inlineStr">
        <is>
          <t>2024-06-26</t>
        </is>
      </c>
      <c r="G128" s="39" t="n"/>
      <c r="H128" s="39">
        <f>IF(OR(F128="",G128=""),"",G128-F128)</f>
        <v/>
      </c>
      <c r="I128" s="39">
        <f>IFERROR(IF(VALUE(SUBSTITUTE(SUBSTITUTE(J128,"%","")," ",""))&lt;=0,"Not Started",IF(VALUE(SUBSTITUTE(SUBSTITUTE(J128,"%","")," ",""))&gt;=100,"Completed","In Progress")),"Not Started")</f>
        <v/>
      </c>
      <c r="J128" s="39" t="inlineStr">
        <is>
          <t>75 %</t>
        </is>
      </c>
      <c r="K128" s="39" t="inlineStr">
        <is>
          <t>CRITICAL</t>
        </is>
      </c>
      <c r="L128" s="39" t="inlineStr">
        <is>
          <t>₹4200</t>
        </is>
      </c>
      <c r="M128" s="39">
        <f>IF(H128="","",H128*8)</f>
        <v/>
      </c>
      <c r="N128" s="41">
        <f>IF(OR(L128="",H128=""),"",L128*H128)</f>
        <v/>
      </c>
      <c r="O128" s="39" t="inlineStr">
        <is>
          <t>—</t>
        </is>
      </c>
    </row>
    <row r="129" ht="15" customHeight="1" s="203">
      <c r="A129" s="42" t="n">
        <v>126</v>
      </c>
      <c r="B129" s="43" t="inlineStr">
        <is>
          <t>Split Combined Columns — Contact Database</t>
        </is>
      </c>
      <c r="C129" s="42" t="inlineStr">
        <is>
          <t>phase 2</t>
        </is>
      </c>
      <c r="D129" s="42" t="inlineStr">
        <is>
          <t>Deepa Krishnan</t>
        </is>
      </c>
      <c r="E129" s="42" t="inlineStr">
        <is>
          <t>bi &amp; analytics</t>
        </is>
      </c>
      <c r="F129" s="42" t="inlineStr">
        <is>
          <t>2024-05-13</t>
        </is>
      </c>
      <c r="G129" s="42" t="n"/>
      <c r="H129" s="42">
        <f>IF(OR(F129="",G129=""),"",G129-F129)</f>
        <v/>
      </c>
      <c r="I129" s="42">
        <f>IFERROR(IF(VALUE(SUBSTITUTE(SUBSTITUTE(J129,"%","")," ",""))&lt;=0,"Not Started",IF(VALUE(SUBSTITUTE(SUBSTITUTE(J129,"%","")," ",""))&gt;=100,"Completed","In Progress")),"Not Started")</f>
        <v/>
      </c>
      <c r="J129" s="42" t="inlineStr">
        <is>
          <t>25 %</t>
        </is>
      </c>
      <c r="K129" s="42" t="inlineStr">
        <is>
          <t>CRITICAL</t>
        </is>
      </c>
      <c r="L129" s="42" t="inlineStr">
        <is>
          <t>Rs. 3,500</t>
        </is>
      </c>
      <c r="M129" s="42">
        <f>IF(H129="","",H129*8)</f>
        <v/>
      </c>
      <c r="N129" s="44">
        <f>IF(OR(L129="",H129=""),"",L129*H129)</f>
        <v/>
      </c>
      <c r="O129" s="42" t="inlineStr">
        <is>
          <t>Verified OK</t>
        </is>
      </c>
    </row>
    <row r="130" ht="15" customHeight="1" s="203">
      <c r="A130" s="39" t="n">
        <v>127</v>
      </c>
      <c r="B130" s="40" t="inlineStr">
        <is>
          <t>Remove Non-Numeric Chars — Revenue Data</t>
        </is>
      </c>
      <c r="C130" s="39" t="inlineStr">
        <is>
          <t>Phase 3</t>
        </is>
      </c>
      <c r="D130" s="39" t="inlineStr">
        <is>
          <t>neha joshi</t>
        </is>
      </c>
      <c r="E130" s="39" t="inlineStr">
        <is>
          <t>Business Intel.</t>
        </is>
      </c>
      <c r="F130" s="39" t="inlineStr">
        <is>
          <t>05/25/2024</t>
        </is>
      </c>
      <c r="G130" s="39" t="n"/>
      <c r="H130" s="39">
        <f>IF(OR(F130="",G130=""),"",G130-F130)</f>
        <v/>
      </c>
      <c r="I130" s="39">
        <f>IFERROR(IF(VALUE(SUBSTITUTE(SUBSTITUTE(J130,"%","")," ",""))&lt;=0,"Not Started",IF(VALUE(SUBSTITUTE(SUBSTITUTE(J130,"%","")," ",""))&gt;=100,"Completed","In Progress")),"Not Started")</f>
        <v/>
      </c>
      <c r="J130" s="39" t="inlineStr">
        <is>
          <t>65.00%</t>
        </is>
      </c>
      <c r="K130" s="39" t="inlineStr">
        <is>
          <t>LOW</t>
        </is>
      </c>
      <c r="L130" s="39" t="inlineStr">
        <is>
          <t>3000</t>
        </is>
      </c>
      <c r="M130" s="39">
        <f>IF(H130="","",H130*8)</f>
        <v/>
      </c>
      <c r="N130" s="41">
        <f>IF(OR(L130="",H130=""),"",L130*H130)</f>
        <v/>
      </c>
      <c r="O130" s="39" t="inlineStr">
        <is>
          <t>Flag for QA</t>
        </is>
      </c>
    </row>
    <row r="131" ht="15" customHeight="1" s="203">
      <c r="A131" s="42" t="n">
        <v>128</v>
      </c>
      <c r="B131" s="43" t="inlineStr">
        <is>
          <t>Validate Data Ranges — HR Age Dataset</t>
        </is>
      </c>
      <c r="C131" s="42" t="inlineStr">
        <is>
          <t>phase 4</t>
        </is>
      </c>
      <c r="D131" s="42" t="inlineStr">
        <is>
          <t>KARAN MALHOTRA</t>
        </is>
      </c>
      <c r="E131" s="42" t="inlineStr">
        <is>
          <t>Data Platform</t>
        </is>
      </c>
      <c r="F131" s="42" t="inlineStr">
        <is>
          <t>2024-03-27</t>
        </is>
      </c>
      <c r="G131" s="42" t="n"/>
      <c r="H131" s="42">
        <f>IF(OR(F131="",G131=""),"",G131-F131)</f>
        <v/>
      </c>
      <c r="I131" s="42">
        <f>IFERROR(IF(VALUE(SUBSTITUTE(SUBSTITUTE(J131,"%","")," ",""))&lt;=0,"Not Started",IF(VALUE(SUBSTITUTE(SUBSTITUTE(J131,"%","")," ",""))&gt;=100,"Completed","In Progress")),"Not Started")</f>
        <v/>
      </c>
      <c r="J131" s="42" t="inlineStr">
        <is>
          <t>75.00%</t>
        </is>
      </c>
      <c r="K131" s="42" t="inlineStr">
        <is>
          <t>Critical</t>
        </is>
      </c>
      <c r="L131" s="42" t="inlineStr">
        <is>
          <t xml:space="preserve">  ₹2,000  </t>
        </is>
      </c>
      <c r="M131" s="42">
        <f>IF(H131="","",H131*8)</f>
        <v/>
      </c>
      <c r="N131" s="44">
        <f>IF(OR(L131="",H131=""),"",L131*H131)</f>
        <v/>
      </c>
      <c r="O131" s="42" t="inlineStr">
        <is>
          <t>Needs validation</t>
        </is>
      </c>
    </row>
    <row r="132" ht="15" customHeight="1" s="203">
      <c r="A132" s="39" t="n">
        <v>129</v>
      </c>
      <c r="B132" s="40" t="inlineStr">
        <is>
          <t>Standardize Category Labels — Product SKU</t>
        </is>
      </c>
      <c r="C132" s="39" t="inlineStr">
        <is>
          <t>PHASE 1</t>
        </is>
      </c>
      <c r="D132" s="39" t="inlineStr">
        <is>
          <t>karan malhotra</t>
        </is>
      </c>
      <c r="E132" s="39" t="inlineStr">
        <is>
          <t>QUALITY ASSUR.</t>
        </is>
      </c>
      <c r="F132" s="39" t="inlineStr">
        <is>
          <t>04/20/2024</t>
        </is>
      </c>
      <c r="G132" s="39" t="n"/>
      <c r="H132" s="39">
        <f>IF(OR(F132="",G132=""),"",G132-F132)</f>
        <v/>
      </c>
      <c r="I132" s="39">
        <f>IFERROR(IF(VALUE(SUBSTITUTE(SUBSTITUTE(J132,"%","")," ",""))&lt;=0,"Not Started",IF(VALUE(SUBSTITUTE(SUBSTITUTE(J132,"%","")," ",""))&gt;=100,"Completed","In Progress")),"Not Started")</f>
        <v/>
      </c>
      <c r="J132" s="39" t="inlineStr">
        <is>
          <t>75 %</t>
        </is>
      </c>
      <c r="K132" s="39" t="inlineStr">
        <is>
          <t>MEDIUM</t>
        </is>
      </c>
      <c r="L132" s="39" t="inlineStr">
        <is>
          <t>Rs.5000</t>
        </is>
      </c>
      <c r="M132" s="39">
        <f>IF(H132="","",H132*8)</f>
        <v/>
      </c>
      <c r="N132" s="41">
        <f>IF(OR(L132="",H132=""),"",L132*H132)</f>
        <v/>
      </c>
      <c r="O132" s="39" t="inlineStr">
        <is>
          <t>—</t>
        </is>
      </c>
    </row>
    <row r="133" ht="15" customHeight="1" s="203">
      <c r="A133" s="42" t="n">
        <v>130</v>
      </c>
      <c r="B133" s="43" t="inlineStr">
        <is>
          <t>Combine &amp; Reconcile Columns — Address</t>
        </is>
      </c>
      <c r="C133" s="42" t="inlineStr">
        <is>
          <t>Phase 2</t>
        </is>
      </c>
      <c r="D133" s="42" t="inlineStr">
        <is>
          <t>Meera Pillai</t>
        </is>
      </c>
      <c r="E133" s="42" t="inlineStr">
        <is>
          <t>PMO</t>
        </is>
      </c>
      <c r="F133" s="42" t="inlineStr">
        <is>
          <t>01/19/2024</t>
        </is>
      </c>
      <c r="G133" s="42" t="n"/>
      <c r="H133" s="42">
        <f>IF(OR(F133="",G133=""),"",G133-F133)</f>
        <v/>
      </c>
      <c r="I133" s="42">
        <f>IFERROR(IF(VALUE(SUBSTITUTE(SUBSTITUTE(J133,"%","")," ",""))&lt;=0,"Not Started",IF(VALUE(SUBSTITUTE(SUBSTITUTE(J133,"%","")," ",""))&gt;=100,"Completed","In Progress")),"Not Started")</f>
        <v/>
      </c>
      <c r="J133" s="42" t="inlineStr">
        <is>
          <t>25.00%</t>
        </is>
      </c>
      <c r="K133" s="42" t="inlineStr">
        <is>
          <t>CRITICAL</t>
        </is>
      </c>
      <c r="L133" s="42" t="inlineStr">
        <is>
          <t>Rs. 3,500</t>
        </is>
      </c>
      <c r="M133" s="42">
        <f>IF(H133="","",H133*8)</f>
        <v/>
      </c>
      <c r="N133" s="44">
        <f>IF(OR(L133="",H133=""),"",L133*H133)</f>
        <v/>
      </c>
      <c r="O133" s="42" t="inlineStr">
        <is>
          <t>Awaiting sign-off</t>
        </is>
      </c>
    </row>
    <row r="134" ht="15" customHeight="1" s="203">
      <c r="A134" s="39" t="n">
        <v>131</v>
      </c>
      <c r="B134" s="40" t="inlineStr">
        <is>
          <t>Remove Duplicates — CRM Export Cleaning</t>
        </is>
      </c>
      <c r="C134" s="39" t="inlineStr">
        <is>
          <t>phase 3</t>
        </is>
      </c>
      <c r="D134" s="39" t="inlineStr">
        <is>
          <t>Rohit Gupta</t>
        </is>
      </c>
      <c r="E134" s="39" t="inlineStr">
        <is>
          <t>BI &amp; ANALYTICS</t>
        </is>
      </c>
      <c r="F134" s="39" t="inlineStr">
        <is>
          <t>2024-05-25</t>
        </is>
      </c>
      <c r="G134" s="39" t="n"/>
      <c r="H134" s="39">
        <f>IF(OR(F134="",G134=""),"",G134-F134)</f>
        <v/>
      </c>
      <c r="I134" s="39">
        <f>IFERROR(IF(VALUE(SUBSTITUTE(SUBSTITUTE(J134,"%","")," ",""))&lt;=0,"Not Started",IF(VALUE(SUBSTITUTE(SUBSTITUTE(J134,"%","")," ",""))&gt;=100,"Completed","In Progress")),"Not Started")</f>
        <v/>
      </c>
      <c r="J134" s="39" t="inlineStr">
        <is>
          <t>75</t>
        </is>
      </c>
      <c r="K134" s="39" t="inlineStr">
        <is>
          <t>LOW</t>
        </is>
      </c>
      <c r="L134" s="39" t="inlineStr">
        <is>
          <t>3000</t>
        </is>
      </c>
      <c r="M134" s="39">
        <f>IF(H134="","",H134*8)</f>
        <v/>
      </c>
      <c r="N134" s="41">
        <f>IF(OR(L134="",H134=""),"",L134*H134)</f>
        <v/>
      </c>
      <c r="O134" s="39" t="inlineStr">
        <is>
          <t>Flag for QA</t>
        </is>
      </c>
    </row>
    <row r="135" ht="15" customHeight="1" s="203">
      <c r="A135" s="42" t="n">
        <v>132</v>
      </c>
      <c r="B135" s="43" t="inlineStr">
        <is>
          <t>Trim Extra Spaces — Customer Name Import</t>
        </is>
      </c>
      <c r="C135" s="42" t="inlineStr">
        <is>
          <t>PHASE4</t>
        </is>
      </c>
      <c r="D135" s="42" t="inlineStr">
        <is>
          <t>rohit gupta</t>
        </is>
      </c>
      <c r="E135" s="42" t="inlineStr">
        <is>
          <t>BUSINESS INTEL.</t>
        </is>
      </c>
      <c r="F135" s="42" t="inlineStr">
        <is>
          <t>14-04-2024</t>
        </is>
      </c>
      <c r="G135" s="42" t="n"/>
      <c r="H135" s="42">
        <f>IF(OR(F135="",G135=""),"",G135-F135)</f>
        <v/>
      </c>
      <c r="I135" s="42">
        <f>IFERROR(IF(VALUE(SUBSTITUTE(SUBSTITUTE(J135,"%","")," ",""))&lt;=0,"Not Started",IF(VALUE(SUBSTITUTE(SUBSTITUTE(J135,"%","")," ",""))&gt;=100,"Completed","In Progress")),"Not Started")</f>
        <v/>
      </c>
      <c r="J135" s="42" t="inlineStr">
        <is>
          <t>65 %</t>
        </is>
      </c>
      <c r="K135" s="42" t="inlineStr">
        <is>
          <t>LOW</t>
        </is>
      </c>
      <c r="L135" s="42" t="inlineStr">
        <is>
          <t>Rs.5000</t>
        </is>
      </c>
      <c r="M135" s="42">
        <f>IF(H135="","",H135*8)</f>
        <v/>
      </c>
      <c r="N135" s="44">
        <f>IF(OR(L135="",H135=""),"",L135*H135)</f>
        <v/>
      </c>
      <c r="O135" s="42" t="inlineStr">
        <is>
          <t>Check formula</t>
        </is>
      </c>
    </row>
    <row r="136" ht="15" customHeight="1" s="203">
      <c r="A136" s="39" t="n">
        <v>133</v>
      </c>
      <c r="B136" s="40" t="inlineStr">
        <is>
          <t>Standardize Text Case — Region Codes</t>
        </is>
      </c>
      <c r="C136" s="39" t="inlineStr">
        <is>
          <t>Phase 1</t>
        </is>
      </c>
      <c r="D136" s="39" t="inlineStr">
        <is>
          <t>RAHUL MEHTA</t>
        </is>
      </c>
      <c r="E136" s="39" t="inlineStr">
        <is>
          <t>Data Platform</t>
        </is>
      </c>
      <c r="F136" s="39" t="inlineStr">
        <is>
          <t>06/08/2024</t>
        </is>
      </c>
      <c r="G136" s="39" t="n"/>
      <c r="H136" s="39">
        <f>IF(OR(F136="",G136=""),"",G136-F136)</f>
        <v/>
      </c>
      <c r="I136" s="39">
        <f>IFERROR(IF(VALUE(SUBSTITUTE(SUBSTITUTE(J136,"%","")," ",""))&lt;=0,"Not Started",IF(VALUE(SUBSTITUTE(SUBSTITUTE(J136,"%","")," ",""))&gt;=100,"Completed","In Progress")),"Not Started")</f>
        <v/>
      </c>
      <c r="J136" s="39" t="inlineStr">
        <is>
          <t>65</t>
        </is>
      </c>
      <c r="K136" s="39" t="inlineStr">
        <is>
          <t>critical</t>
        </is>
      </c>
      <c r="L136" s="39" t="inlineStr">
        <is>
          <t>₹4200</t>
        </is>
      </c>
      <c r="M136" s="39">
        <f>IF(H136="","",H136*8)</f>
        <v/>
      </c>
      <c r="N136" s="41">
        <f>IF(OR(L136="",H136=""),"",L136*H136)</f>
        <v/>
      </c>
      <c r="O136" s="39" t="inlineStr">
        <is>
          <t>Verified OK</t>
        </is>
      </c>
    </row>
    <row r="137" ht="15" customHeight="1" s="203">
      <c r="A137" s="42" t="n">
        <v>134</v>
      </c>
      <c r="B137" s="43" t="inlineStr">
        <is>
          <t>Fix Date Formats — Legacy System Dates</t>
        </is>
      </c>
      <c r="C137" s="42" t="inlineStr">
        <is>
          <t>PHASE 2</t>
        </is>
      </c>
      <c r="D137" s="42" t="inlineStr">
        <is>
          <t xml:space="preserve">  Lakshmi Nair  </t>
        </is>
      </c>
      <c r="E137" s="42" t="inlineStr">
        <is>
          <t>QUALITY ASSUR.</t>
        </is>
      </c>
      <c r="F137" s="42" t="inlineStr">
        <is>
          <t>04/22/2024</t>
        </is>
      </c>
      <c r="G137" s="42" t="n"/>
      <c r="H137" s="42">
        <f>IF(OR(F137="",G137=""),"",G137-F137)</f>
        <v/>
      </c>
      <c r="I137" s="42">
        <f>IFERROR(IF(VALUE(SUBSTITUTE(SUBSTITUTE(J137,"%","")," ",""))&lt;=0,"Not Started",IF(VALUE(SUBSTITUTE(SUBSTITUTE(J137,"%","")," ",""))&gt;=100,"Completed","In Progress")),"Not Started")</f>
        <v/>
      </c>
      <c r="J137" s="42" t="inlineStr">
        <is>
          <t>50 %</t>
        </is>
      </c>
      <c r="K137" s="42" t="inlineStr">
        <is>
          <t>high</t>
        </is>
      </c>
      <c r="L137" s="42" t="inlineStr">
        <is>
          <t>3000</t>
        </is>
      </c>
      <c r="M137" s="42">
        <f>IF(H137="","",H137*8)</f>
        <v/>
      </c>
      <c r="N137" s="44">
        <f>IF(OR(L137="",H137=""),"",L137*H137)</f>
        <v/>
      </c>
      <c r="O137" s="42" t="inlineStr">
        <is>
          <t>Check formula</t>
        </is>
      </c>
    </row>
    <row r="138" ht="15" customHeight="1" s="203">
      <c r="A138" s="39" t="n">
        <v>135</v>
      </c>
      <c r="B138" s="40" t="inlineStr">
        <is>
          <t>Handle Missing Values — Customer Database</t>
        </is>
      </c>
      <c r="C138" s="39" t="inlineStr">
        <is>
          <t>Phase 3</t>
        </is>
      </c>
      <c r="D138" s="39" t="inlineStr">
        <is>
          <t>Lakshmi Nair</t>
        </is>
      </c>
      <c r="E138" s="39" t="inlineStr">
        <is>
          <t>pmo</t>
        </is>
      </c>
      <c r="F138" s="39" t="inlineStr">
        <is>
          <t>2024-06-06</t>
        </is>
      </c>
      <c r="G138" s="39" t="n"/>
      <c r="H138" s="39">
        <f>IF(OR(F138="",G138=""),"",G138-F138)</f>
        <v/>
      </c>
      <c r="I138" s="39">
        <f>IFERROR(IF(VALUE(SUBSTITUTE(SUBSTITUTE(J138,"%","")," ",""))&lt;=0,"Not Started",IF(VALUE(SUBSTITUTE(SUBSTITUTE(J138,"%","")," ",""))&gt;=100,"Completed","In Progress")),"Not Started")</f>
        <v/>
      </c>
      <c r="J138" s="39" t="inlineStr">
        <is>
          <t>25%</t>
        </is>
      </c>
      <c r="K138" s="39" t="inlineStr">
        <is>
          <t>Medium</t>
        </is>
      </c>
      <c r="L138" s="39" t="inlineStr">
        <is>
          <t>INR 5,500</t>
        </is>
      </c>
      <c r="M138" s="39">
        <f>IF(H138="","",H138*8)</f>
        <v/>
      </c>
      <c r="N138" s="41">
        <f>IF(OR(L138="",H138=""),"",L138*H138)</f>
        <v/>
      </c>
      <c r="O138" s="39" t="inlineStr">
        <is>
          <t>Verified OK</t>
        </is>
      </c>
    </row>
    <row r="139" ht="15" customHeight="1" s="203">
      <c r="A139" s="42" t="n">
        <v>136</v>
      </c>
      <c r="B139" s="43" t="inlineStr">
        <is>
          <t>Split Combined Columns — Contact Database</t>
        </is>
      </c>
      <c r="C139" s="42" t="inlineStr">
        <is>
          <t>phase 4</t>
        </is>
      </c>
      <c r="D139" s="42" t="inlineStr">
        <is>
          <t>Sunita Verma</t>
        </is>
      </c>
      <c r="E139" s="42" t="inlineStr">
        <is>
          <t>bi &amp; analytics</t>
        </is>
      </c>
      <c r="F139" s="42" t="inlineStr">
        <is>
          <t>03/07/2024</t>
        </is>
      </c>
      <c r="G139" s="42" t="n"/>
      <c r="H139" s="42">
        <f>IF(OR(F139="",G139=""),"",G139-F139)</f>
        <v/>
      </c>
      <c r="I139" s="42">
        <f>IFERROR(IF(VALUE(SUBSTITUTE(SUBSTITUTE(J139,"%","")," ",""))&lt;=0,"Not Started",IF(VALUE(SUBSTITUTE(SUBSTITUTE(J139,"%","")," ",""))&gt;=100,"Completed","In Progress")),"Not Started")</f>
        <v/>
      </c>
      <c r="J139" s="42" t="inlineStr">
        <is>
          <t>50%</t>
        </is>
      </c>
      <c r="K139" s="42" t="inlineStr">
        <is>
          <t>HIGH</t>
        </is>
      </c>
      <c r="L139" s="42" t="inlineStr">
        <is>
          <t>Rs. 4,000</t>
        </is>
      </c>
      <c r="M139" s="42">
        <f>IF(H139="","",H139*8)</f>
        <v/>
      </c>
      <c r="N139" s="44">
        <f>IF(OR(L139="",H139=""),"",L139*H139)</f>
        <v/>
      </c>
      <c r="O139" s="42" t="inlineStr">
        <is>
          <t>Verified OK</t>
        </is>
      </c>
    </row>
    <row r="140" ht="15" customHeight="1" s="203">
      <c r="A140" s="39" t="n">
        <v>137</v>
      </c>
      <c r="B140" s="40" t="inlineStr">
        <is>
          <t>Remove Non-Numeric Chars — Revenue Data</t>
        </is>
      </c>
      <c r="C140" s="39" t="inlineStr">
        <is>
          <t>Phase 1</t>
        </is>
      </c>
      <c r="D140" s="39" t="inlineStr">
        <is>
          <t xml:space="preserve">  Sunita Verma  </t>
        </is>
      </c>
      <c r="E140" s="39" t="inlineStr">
        <is>
          <t>business intel.</t>
        </is>
      </c>
      <c r="F140" s="39" t="inlineStr">
        <is>
          <t>26-02-2024</t>
        </is>
      </c>
      <c r="G140" s="39" t="n"/>
      <c r="H140" s="39">
        <f>IF(OR(F140="",G140=""),"",G140-F140)</f>
        <v/>
      </c>
      <c r="I140" s="39">
        <f>IFERROR(IF(VALUE(SUBSTITUTE(SUBSTITUTE(J140,"%","")," ",""))&lt;=0,"Not Started",IF(VALUE(SUBSTITUTE(SUBSTITUTE(J140,"%","")," ",""))&gt;=100,"Completed","In Progress")),"Not Started")</f>
        <v/>
      </c>
      <c r="J140" s="39" t="inlineStr">
        <is>
          <t>50%</t>
        </is>
      </c>
      <c r="K140" s="39" t="inlineStr">
        <is>
          <t>MEDIUM</t>
        </is>
      </c>
      <c r="L140" s="39" t="inlineStr">
        <is>
          <t>Rs. 4,000</t>
        </is>
      </c>
      <c r="M140" s="39">
        <f>IF(H140="","",H140*8)</f>
        <v/>
      </c>
      <c r="N140" s="41">
        <f>IF(OR(L140="",H140=""),"",L140*H140)</f>
        <v/>
      </c>
      <c r="O140" s="39" t="inlineStr">
        <is>
          <t>—</t>
        </is>
      </c>
    </row>
    <row r="141" ht="15" customHeight="1" s="203">
      <c r="A141" s="42" t="n">
        <v>138</v>
      </c>
      <c r="B141" s="43" t="inlineStr">
        <is>
          <t>Validate Data Ranges — HR Age Dataset</t>
        </is>
      </c>
      <c r="C141" s="42" t="inlineStr">
        <is>
          <t>Phase 2</t>
        </is>
      </c>
      <c r="D141" s="42" t="inlineStr">
        <is>
          <t>Sunita Verma</t>
        </is>
      </c>
      <c r="E141" s="42" t="inlineStr">
        <is>
          <t>data platform</t>
        </is>
      </c>
      <c r="F141" s="42" t="inlineStr">
        <is>
          <t>2024-02-14</t>
        </is>
      </c>
      <c r="G141" s="42" t="n"/>
      <c r="H141" s="42">
        <f>IF(OR(F141="",G141=""),"",G141-F141)</f>
        <v/>
      </c>
      <c r="I141" s="42">
        <f>IFERROR(IF(VALUE(SUBSTITUTE(SUBSTITUTE(J141,"%","")," ",""))&lt;=0,"Not Started",IF(VALUE(SUBSTITUTE(SUBSTITUTE(J141,"%","")," ",""))&gt;=100,"Completed","In Progress")),"Not Started")</f>
        <v/>
      </c>
      <c r="J141" s="42" t="inlineStr">
        <is>
          <t>50%</t>
        </is>
      </c>
      <c r="K141" s="42" t="inlineStr">
        <is>
          <t>HIGH</t>
        </is>
      </c>
      <c r="L141" s="42" t="inlineStr">
        <is>
          <t xml:space="preserve">  ₹2,000  </t>
        </is>
      </c>
      <c r="M141" s="42">
        <f>IF(H141="","",H141*8)</f>
        <v/>
      </c>
      <c r="N141" s="44">
        <f>IF(OR(L141="",H141=""),"",L141*H141)</f>
        <v/>
      </c>
      <c r="O141" s="42" t="inlineStr">
        <is>
          <t>—</t>
        </is>
      </c>
    </row>
    <row r="142" ht="15" customHeight="1" s="203">
      <c r="A142" s="39" t="n">
        <v>139</v>
      </c>
      <c r="B142" s="40" t="inlineStr">
        <is>
          <t>Standardize Category Labels — Product SKU</t>
        </is>
      </c>
      <c r="C142" s="39" t="inlineStr">
        <is>
          <t>phase 3</t>
        </is>
      </c>
      <c r="D142" s="39" t="inlineStr">
        <is>
          <t xml:space="preserve">  Neha Joshi  </t>
        </is>
      </c>
      <c r="E142" s="39" t="inlineStr">
        <is>
          <t>Quality Assur.</t>
        </is>
      </c>
      <c r="F142" s="39" t="inlineStr">
        <is>
          <t>14-04-2024</t>
        </is>
      </c>
      <c r="G142" s="39" t="n"/>
      <c r="H142" s="39">
        <f>IF(OR(F142="",G142=""),"",G142-F142)</f>
        <v/>
      </c>
      <c r="I142" s="39">
        <f>IFERROR(IF(VALUE(SUBSTITUTE(SUBSTITUTE(J142,"%","")," ",""))&lt;=0,"Not Started",IF(VALUE(SUBSTITUTE(SUBSTITUTE(J142,"%","")," ",""))&gt;=100,"Completed","In Progress")),"Not Started")</f>
        <v/>
      </c>
      <c r="J142" s="39" t="inlineStr">
        <is>
          <t>25%</t>
        </is>
      </c>
      <c r="K142" s="39" t="inlineStr">
        <is>
          <t>medium</t>
        </is>
      </c>
      <c r="L142" s="39" t="inlineStr">
        <is>
          <t>3000</t>
        </is>
      </c>
      <c r="M142" s="39">
        <f>IF(H142="","",H142*8)</f>
        <v/>
      </c>
      <c r="N142" s="41">
        <f>IF(OR(L142="",H142=""),"",L142*H142)</f>
        <v/>
      </c>
      <c r="O142" s="39" t="inlineStr">
        <is>
          <t>Awaiting sign-off</t>
        </is>
      </c>
    </row>
    <row r="143" ht="15" customHeight="1" s="203">
      <c r="A143" s="42" t="n">
        <v>140</v>
      </c>
      <c r="B143" s="43" t="inlineStr">
        <is>
          <t>Combine &amp; Reconcile Columns — Address</t>
        </is>
      </c>
      <c r="C143" s="42" t="inlineStr">
        <is>
          <t>PHASE 4</t>
        </is>
      </c>
      <c r="D143" s="42" t="inlineStr">
        <is>
          <t>Karan Malhotra</t>
        </is>
      </c>
      <c r="E143" s="42" t="inlineStr">
        <is>
          <t>pmo</t>
        </is>
      </c>
      <c r="F143" s="42" t="inlineStr">
        <is>
          <t>2024-01-21</t>
        </is>
      </c>
      <c r="G143" s="42" t="n"/>
      <c r="H143" s="42">
        <f>IF(OR(F143="",G143=""),"",G143-F143)</f>
        <v/>
      </c>
      <c r="I143" s="42">
        <f>IFERROR(IF(VALUE(SUBSTITUTE(SUBSTITUTE(J143,"%","")," ",""))&lt;=0,"Not Started",IF(VALUE(SUBSTITUTE(SUBSTITUTE(J143,"%","")," ",""))&gt;=100,"Completed","In Progress")),"Not Started")</f>
        <v/>
      </c>
      <c r="J143" s="42" t="inlineStr">
        <is>
          <t>65 %</t>
        </is>
      </c>
      <c r="K143" s="42" t="inlineStr">
        <is>
          <t>critical</t>
        </is>
      </c>
      <c r="L143" s="42" t="inlineStr">
        <is>
          <t>Rs. 3,500</t>
        </is>
      </c>
      <c r="M143" s="42">
        <f>IF(H143="","",H143*8)</f>
        <v/>
      </c>
      <c r="N143" s="44">
        <f>IF(OR(L143="",H143=""),"",L143*H143)</f>
        <v/>
      </c>
      <c r="O143" s="42" t="inlineStr">
        <is>
          <t>—</t>
        </is>
      </c>
    </row>
    <row r="144" ht="15" customHeight="1" s="203">
      <c r="A144" s="39" t="n">
        <v>141</v>
      </c>
      <c r="B144" s="40" t="inlineStr">
        <is>
          <t>Remove Duplicates — CRM Export Cleaning</t>
        </is>
      </c>
      <c r="C144" s="39" t="inlineStr">
        <is>
          <t>PHASE1</t>
        </is>
      </c>
      <c r="D144" s="39" t="inlineStr">
        <is>
          <t>POOJA IYER</t>
        </is>
      </c>
      <c r="E144" s="39" t="inlineStr">
        <is>
          <t>BI &amp; ANALYTICS</t>
        </is>
      </c>
      <c r="F144" s="39" t="inlineStr">
        <is>
          <t>02-04-2024</t>
        </is>
      </c>
      <c r="G144" s="39" t="n"/>
      <c r="H144" s="39">
        <f>IF(OR(F144="",G144=""),"",G144-F144)</f>
        <v/>
      </c>
      <c r="I144" s="39">
        <f>IFERROR(IF(VALUE(SUBSTITUTE(SUBSTITUTE(J144,"%","")," ",""))&lt;=0,"Not Started",IF(VALUE(SUBSTITUTE(SUBSTITUTE(J144,"%","")," ",""))&gt;=100,"Completed","In Progress")),"Not Started")</f>
        <v/>
      </c>
      <c r="J144" s="39" t="inlineStr">
        <is>
          <t>40 %</t>
        </is>
      </c>
      <c r="K144" s="39" t="inlineStr">
        <is>
          <t>high</t>
        </is>
      </c>
      <c r="L144" s="39" t="inlineStr">
        <is>
          <t>3000</t>
        </is>
      </c>
      <c r="M144" s="39">
        <f>IF(H144="","",H144*8)</f>
        <v/>
      </c>
      <c r="N144" s="41">
        <f>IF(OR(L144="",H144=""),"",L144*H144)</f>
        <v/>
      </c>
      <c r="O144" s="39" t="inlineStr">
        <is>
          <t>Pending review</t>
        </is>
      </c>
    </row>
    <row r="145" ht="15" customHeight="1" s="203">
      <c r="A145" s="42" t="n">
        <v>142</v>
      </c>
      <c r="B145" s="43" t="inlineStr">
        <is>
          <t>Trim Extra Spaces — Customer Name Import</t>
        </is>
      </c>
      <c r="C145" s="42" t="inlineStr">
        <is>
          <t>phase 2</t>
        </is>
      </c>
      <c r="D145" s="42" t="inlineStr">
        <is>
          <t>siddharth rao</t>
        </is>
      </c>
      <c r="E145" s="42" t="inlineStr">
        <is>
          <t>BUSINESS INTEL.</t>
        </is>
      </c>
      <c r="F145" s="42" t="inlineStr">
        <is>
          <t>2024-04-22</t>
        </is>
      </c>
      <c r="G145" s="42" t="n"/>
      <c r="H145" s="42">
        <f>IF(OR(F145="",G145=""),"",G145-F145)</f>
        <v/>
      </c>
      <c r="I145" s="42">
        <f>IFERROR(IF(VALUE(SUBSTITUTE(SUBSTITUTE(J145,"%","")," ",""))&lt;=0,"Not Started",IF(VALUE(SUBSTITUTE(SUBSTITUTE(J145,"%","")," ",""))&gt;=100,"Completed","In Progress")),"Not Started")</f>
        <v/>
      </c>
      <c r="J145" s="42" t="inlineStr">
        <is>
          <t>100</t>
        </is>
      </c>
      <c r="K145" s="42" t="inlineStr">
        <is>
          <t>Critical</t>
        </is>
      </c>
      <c r="L145" s="42" t="inlineStr">
        <is>
          <t xml:space="preserve">  ₹2,000  </t>
        </is>
      </c>
      <c r="M145" s="42">
        <f>IF(H145="","",H145*8)</f>
        <v/>
      </c>
      <c r="N145" s="44">
        <f>IF(OR(L145="",H145=""),"",L145*H145)</f>
        <v/>
      </c>
      <c r="O145" s="42" t="inlineStr">
        <is>
          <t>—</t>
        </is>
      </c>
    </row>
    <row r="146" ht="15" customHeight="1" s="203">
      <c r="A146" s="39" t="n">
        <v>143</v>
      </c>
      <c r="B146" s="40" t="inlineStr">
        <is>
          <t>Standardize Text Case — Region Codes</t>
        </is>
      </c>
      <c r="C146" s="39" t="inlineStr">
        <is>
          <t>Phase 3</t>
        </is>
      </c>
      <c r="D146" s="39" t="inlineStr">
        <is>
          <t>Meera Pillai</t>
        </is>
      </c>
      <c r="E146" s="39" t="inlineStr">
        <is>
          <t>data platform</t>
        </is>
      </c>
      <c r="F146" s="39" t="inlineStr">
        <is>
          <t>18-06-2024</t>
        </is>
      </c>
      <c r="G146" s="39" t="n"/>
      <c r="H146" s="39">
        <f>IF(OR(F146="",G146=""),"",G146-F146)</f>
        <v/>
      </c>
      <c r="I146" s="39">
        <f>IFERROR(IF(VALUE(SUBSTITUTE(SUBSTITUTE(J146,"%","")," ",""))&lt;=0,"Not Started",IF(VALUE(SUBSTITUTE(SUBSTITUTE(J146,"%","")," ",""))&gt;=100,"Completed","In Progress")),"Not Started")</f>
        <v/>
      </c>
      <c r="J146" s="39" t="inlineStr">
        <is>
          <t>50</t>
        </is>
      </c>
      <c r="K146" s="39" t="inlineStr">
        <is>
          <t>medium</t>
        </is>
      </c>
      <c r="L146" s="39" t="inlineStr">
        <is>
          <t>INR 5,500</t>
        </is>
      </c>
      <c r="M146" s="39">
        <f>IF(H146="","",H146*8)</f>
        <v/>
      </c>
      <c r="N146" s="41">
        <f>IF(OR(L146="",H146=""),"",L146*H146)</f>
        <v/>
      </c>
      <c r="O146" s="39" t="inlineStr">
        <is>
          <t>—</t>
        </is>
      </c>
    </row>
    <row r="147" ht="15" customHeight="1" s="203">
      <c r="A147" s="42" t="n">
        <v>144</v>
      </c>
      <c r="B147" s="43" t="inlineStr">
        <is>
          <t>Fix Date Formats — Legacy System Dates</t>
        </is>
      </c>
      <c r="C147" s="42" t="inlineStr">
        <is>
          <t>Phase 4</t>
        </is>
      </c>
      <c r="D147" s="42" t="inlineStr">
        <is>
          <t>ANANYA SINGH</t>
        </is>
      </c>
      <c r="E147" s="42" t="inlineStr">
        <is>
          <t>Quality Assur.</t>
        </is>
      </c>
      <c r="F147" s="42" t="inlineStr">
        <is>
          <t>03/25/2024</t>
        </is>
      </c>
      <c r="G147" s="42" t="n"/>
      <c r="H147" s="42">
        <f>IF(OR(F147="",G147=""),"",G147-F147)</f>
        <v/>
      </c>
      <c r="I147" s="42">
        <f>IFERROR(IF(VALUE(SUBSTITUTE(SUBSTITUTE(J147,"%","")," ",""))&lt;=0,"Not Started",IF(VALUE(SUBSTITUTE(SUBSTITUTE(J147,"%","")," ",""))&gt;=100,"Completed","In Progress")),"Not Started")</f>
        <v/>
      </c>
      <c r="J147" s="42" t="inlineStr">
        <is>
          <t>75%</t>
        </is>
      </c>
      <c r="K147" s="42" t="inlineStr">
        <is>
          <t>low</t>
        </is>
      </c>
      <c r="L147" s="42" t="inlineStr">
        <is>
          <t>3000</t>
        </is>
      </c>
      <c r="M147" s="42">
        <f>IF(H147="","",H147*8)</f>
        <v/>
      </c>
      <c r="N147" s="44">
        <f>IF(OR(L147="",H147=""),"",L147*H147)</f>
        <v/>
      </c>
      <c r="O147" s="42" t="inlineStr">
        <is>
          <t>Check formula</t>
        </is>
      </c>
    </row>
    <row r="148" ht="15" customHeight="1" s="203">
      <c r="A148" s="39" t="n">
        <v>145</v>
      </c>
      <c r="B148" s="40" t="inlineStr">
        <is>
          <t>Handle Missing Values — Customer Database</t>
        </is>
      </c>
      <c r="C148" s="39" t="inlineStr">
        <is>
          <t>PHASE 1</t>
        </is>
      </c>
      <c r="D148" s="39" t="inlineStr">
        <is>
          <t xml:space="preserve">  Rohit Gupta  </t>
        </is>
      </c>
      <c r="E148" s="39" t="inlineStr">
        <is>
          <t>pmo</t>
        </is>
      </c>
      <c r="F148" s="39" t="inlineStr">
        <is>
          <t>04/18/2024</t>
        </is>
      </c>
      <c r="G148" s="39" t="n"/>
      <c r="H148" s="39">
        <f>IF(OR(F148="",G148=""),"",G148-F148)</f>
        <v/>
      </c>
      <c r="I148" s="39">
        <f>IFERROR(IF(VALUE(SUBSTITUTE(SUBSTITUTE(J148,"%","")," ",""))&lt;=0,"Not Started",IF(VALUE(SUBSTITUTE(SUBSTITUTE(J148,"%","")," ",""))&gt;=100,"Completed","In Progress")),"Not Started")</f>
        <v/>
      </c>
      <c r="J148" s="39" t="inlineStr">
        <is>
          <t>25%</t>
        </is>
      </c>
      <c r="K148" s="39" t="inlineStr">
        <is>
          <t>low</t>
        </is>
      </c>
      <c r="L148" s="39" t="inlineStr">
        <is>
          <t>Rs. 3,500</t>
        </is>
      </c>
      <c r="M148" s="39">
        <f>IF(H148="","",H148*8)</f>
        <v/>
      </c>
      <c r="N148" s="41">
        <f>IF(OR(L148="",H148=""),"",L148*H148)</f>
        <v/>
      </c>
      <c r="O148" s="39" t="inlineStr">
        <is>
          <t>—</t>
        </is>
      </c>
    </row>
    <row r="149" ht="15" customHeight="1" s="203">
      <c r="A149" s="42" t="n">
        <v>146</v>
      </c>
      <c r="B149" s="43" t="inlineStr">
        <is>
          <t>Split Combined Columns — Contact Database</t>
        </is>
      </c>
      <c r="C149" s="42" t="inlineStr">
        <is>
          <t>PHASE2</t>
        </is>
      </c>
      <c r="D149" s="42" t="inlineStr">
        <is>
          <t>Lakshmi Nair</t>
        </is>
      </c>
      <c r="E149" s="42" t="inlineStr">
        <is>
          <t>bi &amp; analytics</t>
        </is>
      </c>
      <c r="F149" s="42" t="inlineStr">
        <is>
          <t>27-03-2024</t>
        </is>
      </c>
      <c r="G149" s="42" t="n"/>
      <c r="H149" s="42">
        <f>IF(OR(F149="",G149=""),"",G149-F149)</f>
        <v/>
      </c>
      <c r="I149" s="42">
        <f>IFERROR(IF(VALUE(SUBSTITUTE(SUBSTITUTE(J149,"%","")," ",""))&lt;=0,"Not Started",IF(VALUE(SUBSTITUTE(SUBSTITUTE(J149,"%","")," ",""))&gt;=100,"Completed","In Progress")),"Not Started")</f>
        <v/>
      </c>
      <c r="J149" s="42" t="inlineStr">
        <is>
          <t>75 %</t>
        </is>
      </c>
      <c r="K149" s="42" t="inlineStr">
        <is>
          <t>critical</t>
        </is>
      </c>
      <c r="L149" s="42" t="inlineStr">
        <is>
          <t>Rs. 3,500</t>
        </is>
      </c>
      <c r="M149" s="42">
        <f>IF(H149="","",H149*8)</f>
        <v/>
      </c>
      <c r="N149" s="44">
        <f>IF(OR(L149="",H149=""),"",L149*H149)</f>
        <v/>
      </c>
      <c r="O149" s="42" t="inlineStr">
        <is>
          <t>Verified OK</t>
        </is>
      </c>
    </row>
    <row r="150" ht="15" customHeight="1" s="203">
      <c r="A150" s="39" t="n">
        <v>147</v>
      </c>
      <c r="B150" s="40" t="inlineStr">
        <is>
          <t>Remove Non-Numeric Chars — Revenue Data</t>
        </is>
      </c>
      <c r="C150" s="39" t="inlineStr">
        <is>
          <t>phase 3</t>
        </is>
      </c>
      <c r="D150" s="39" t="inlineStr">
        <is>
          <t>Meera Pillai</t>
        </is>
      </c>
      <c r="E150" s="39" t="inlineStr">
        <is>
          <t>Business Intel.</t>
        </is>
      </c>
      <c r="F150" s="39" t="inlineStr">
        <is>
          <t>04/20/2024</t>
        </is>
      </c>
      <c r="G150" s="39" t="n"/>
      <c r="H150" s="39">
        <f>IF(OR(F150="",G150=""),"",G150-F150)</f>
        <v/>
      </c>
      <c r="I150" s="39">
        <f>IFERROR(IF(VALUE(SUBSTITUTE(SUBSTITUTE(J150,"%","")," ",""))&lt;=0,"Not Started",IF(VALUE(SUBSTITUTE(SUBSTITUTE(J150,"%","")," ",""))&gt;=100,"Completed","In Progress")),"Not Started")</f>
        <v/>
      </c>
      <c r="J150" s="39" t="inlineStr">
        <is>
          <t>75%</t>
        </is>
      </c>
      <c r="K150" s="39" t="inlineStr">
        <is>
          <t>Medium</t>
        </is>
      </c>
      <c r="L150" s="39" t="inlineStr">
        <is>
          <t xml:space="preserve">  ₹2,000  </t>
        </is>
      </c>
      <c r="M150" s="39">
        <f>IF(H150="","",H150*8)</f>
        <v/>
      </c>
      <c r="N150" s="41">
        <f>IF(OR(L150="",H150=""),"",L150*H150)</f>
        <v/>
      </c>
      <c r="O150" s="39" t="inlineStr">
        <is>
          <t>—</t>
        </is>
      </c>
    </row>
    <row r="151" ht="15" customHeight="1" s="203">
      <c r="A151" s="42" t="n">
        <v>148</v>
      </c>
      <c r="B151" s="43" t="inlineStr">
        <is>
          <t>Validate Data Ranges — HR Age Dataset</t>
        </is>
      </c>
      <c r="C151" s="42" t="inlineStr">
        <is>
          <t>PHASE 4</t>
        </is>
      </c>
      <c r="D151" s="42" t="inlineStr">
        <is>
          <t>ROHIT GUPTA</t>
        </is>
      </c>
      <c r="E151" s="42" t="inlineStr">
        <is>
          <t>Data Platform</t>
        </is>
      </c>
      <c r="F151" s="42" t="inlineStr">
        <is>
          <t>01/25/2024</t>
        </is>
      </c>
      <c r="G151" s="42" t="n"/>
      <c r="H151" s="42">
        <f>IF(OR(F151="",G151=""),"",G151-F151)</f>
        <v/>
      </c>
      <c r="I151" s="42">
        <f>IFERROR(IF(VALUE(SUBSTITUTE(SUBSTITUTE(J151,"%","")," ",""))&lt;=0,"Not Started",IF(VALUE(SUBSTITUTE(SUBSTITUTE(J151,"%","")," ",""))&gt;=100,"Completed","In Progress")),"Not Started")</f>
        <v/>
      </c>
      <c r="J151" s="42" t="inlineStr">
        <is>
          <t>100</t>
        </is>
      </c>
      <c r="K151" s="42" t="inlineStr">
        <is>
          <t>low</t>
        </is>
      </c>
      <c r="L151" s="42" t="inlineStr">
        <is>
          <t>Rs. 4,000</t>
        </is>
      </c>
      <c r="M151" s="42">
        <f>IF(H151="","",H151*8)</f>
        <v/>
      </c>
      <c r="N151" s="44">
        <f>IF(OR(L151="",H151=""),"",L151*H151)</f>
        <v/>
      </c>
      <c r="O151" s="42" t="inlineStr">
        <is>
          <t>Re-run TRIM</t>
        </is>
      </c>
    </row>
    <row r="152" ht="15" customHeight="1" s="203">
      <c r="A152" s="39" t="n">
        <v>149</v>
      </c>
      <c r="B152" s="40" t="inlineStr">
        <is>
          <t>Standardize Category Labels — Product SKU</t>
        </is>
      </c>
      <c r="C152" s="39" t="inlineStr">
        <is>
          <t>Phase 1</t>
        </is>
      </c>
      <c r="D152" s="39" t="inlineStr">
        <is>
          <t>rohit gupta</t>
        </is>
      </c>
      <c r="E152" s="39" t="inlineStr">
        <is>
          <t>QUALITY ASSUR.</t>
        </is>
      </c>
      <c r="F152" s="39" t="inlineStr">
        <is>
          <t>27-03-2024</t>
        </is>
      </c>
      <c r="G152" s="39" t="n"/>
      <c r="H152" s="39">
        <f>IF(OR(F152="",G152=""),"",G152-F152)</f>
        <v/>
      </c>
      <c r="I152" s="39">
        <f>IFERROR(IF(VALUE(SUBSTITUTE(SUBSTITUTE(J152,"%","")," ",""))&lt;=0,"Not Started",IF(VALUE(SUBSTITUTE(SUBSTITUTE(J152,"%","")," ",""))&gt;=100,"Completed","In Progress")),"Not Started")</f>
        <v/>
      </c>
      <c r="J152" s="39" t="inlineStr">
        <is>
          <t>0 %</t>
        </is>
      </c>
      <c r="K152" s="39" t="inlineStr">
        <is>
          <t>Low</t>
        </is>
      </c>
      <c r="L152" s="39" t="inlineStr">
        <is>
          <t>₹4200</t>
        </is>
      </c>
      <c r="M152" s="39">
        <f>IF(H152="","",H152*8)</f>
        <v/>
      </c>
      <c r="N152" s="41">
        <f>IF(OR(L152="",H152=""),"",L152*H152)</f>
        <v/>
      </c>
      <c r="O152" s="39" t="inlineStr">
        <is>
          <t>Pending review</t>
        </is>
      </c>
    </row>
    <row r="153" ht="15" customHeight="1" s="203">
      <c r="A153" s="42" t="n">
        <v>150</v>
      </c>
      <c r="B153" s="43" t="inlineStr">
        <is>
          <t>Combine &amp; Reconcile Columns — Address</t>
        </is>
      </c>
      <c r="C153" s="42" t="inlineStr">
        <is>
          <t>phase 2</t>
        </is>
      </c>
      <c r="D153" s="42" t="inlineStr">
        <is>
          <t>lakshmi nair</t>
        </is>
      </c>
      <c r="E153" s="42" t="inlineStr">
        <is>
          <t>pmo</t>
        </is>
      </c>
      <c r="F153" s="42" t="inlineStr">
        <is>
          <t>2024-06-18</t>
        </is>
      </c>
      <c r="G153" s="42" t="n"/>
      <c r="H153" s="42">
        <f>IF(OR(F153="",G153=""),"",G153-F153)</f>
        <v/>
      </c>
      <c r="I153" s="42">
        <f>IFERROR(IF(VALUE(SUBSTITUTE(SUBSTITUTE(J153,"%","")," ",""))&lt;=0,"Not Started",IF(VALUE(SUBSTITUTE(SUBSTITUTE(J153,"%","")," ",""))&gt;=100,"Completed","In Progress")),"Not Started")</f>
        <v/>
      </c>
      <c r="J153" s="42" t="inlineStr">
        <is>
          <t>0</t>
        </is>
      </c>
      <c r="K153" s="42" t="inlineStr">
        <is>
          <t>HIGH</t>
        </is>
      </c>
      <c r="L153" s="42" t="inlineStr">
        <is>
          <t xml:space="preserve">  ₹2,000  </t>
        </is>
      </c>
      <c r="M153" s="42">
        <f>IF(H153="","",H153*8)</f>
        <v/>
      </c>
      <c r="N153" s="44">
        <f>IF(OR(L153="",H153=""),"",L153*H153)</f>
        <v/>
      </c>
      <c r="O153" s="42" t="inlineStr">
        <is>
          <t>Needs validation</t>
        </is>
      </c>
    </row>
  </sheetData>
  <autoFilter ref="A3:O153"/>
  <mergeCells count="1">
    <mergeCell ref="A1:O1"/>
  </mergeCells>
  <hyperlinks>
    <hyperlink ref="O2" location="'Project Overview'!A1" display="← Back to Project Overview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tabSelected="1" zoomScaleNormal="100" workbookViewId="0">
      <pane ySplit="3" topLeftCell="A17" activePane="bottomLeft" state="frozen"/>
      <selection activeCell="A1" sqref="A1:P1"/>
      <selection pane="bottomLeft" activeCell="A1" sqref="A1:P1"/>
    </sheetView>
  </sheetViews>
  <sheetFormatPr baseColWidth="8" defaultColWidth="8.7109375" defaultRowHeight="15"/>
  <cols>
    <col width="7.5703125" customWidth="1" style="203" min="1" max="1"/>
    <col width="38" customWidth="1" style="203" min="2" max="2"/>
    <col width="10" customWidth="1" style="203" min="3" max="3"/>
    <col width="20" customWidth="1" style="203" min="4" max="4"/>
    <col width="16" customWidth="1" style="203" min="5" max="5"/>
    <col width="14" customWidth="1" style="203" min="6" max="9"/>
    <col width="11" customWidth="1" style="203" min="10" max="10"/>
    <col width="10" customWidth="1" style="203" min="11" max="11"/>
    <col width="14" customWidth="1" style="203" min="12" max="12"/>
    <col width="8" customWidth="1" style="203" min="13" max="13"/>
    <col width="14" customWidth="1" style="203" min="14" max="14"/>
    <col width="20" customWidth="1" style="203" min="15" max="15"/>
    <col width="30" customWidth="1" style="203" min="16" max="16"/>
    <col width="30" customWidth="1" style="203" min="17" max="17"/>
    <col width="32" customWidth="1" style="203" min="18" max="18"/>
  </cols>
  <sheetData>
    <row r="1" ht="25.5" customHeight="1" s="203">
      <c r="A1" s="217" t="inlineStr">
        <is>
          <t>✔  CLEANED DATA — 120 Records (Standardised &amp; Validated)  |  Project Management Dashboard</t>
        </is>
      </c>
    </row>
    <row r="2" ht="15" customHeight="1" s="203">
      <c r="P2" s="214" t="inlineStr">
        <is>
          <t>← Back to Project Overview</t>
        </is>
      </c>
    </row>
    <row r="3" ht="31.5" customHeight="1" s="203">
      <c r="A3" s="38" t="inlineStr">
        <is>
          <t>#</t>
        </is>
      </c>
      <c r="B3" s="38" t="inlineStr">
        <is>
          <t>Task / Technique</t>
        </is>
      </c>
      <c r="C3" s="38" t="inlineStr">
        <is>
          <t>Phase</t>
        </is>
      </c>
      <c r="D3" s="38" t="inlineStr">
        <is>
          <t>Assigned To</t>
        </is>
      </c>
      <c r="E3" s="38" t="inlineStr">
        <is>
          <t>Department</t>
        </is>
      </c>
      <c r="F3" s="38" t="inlineStr">
        <is>
          <t>Start Date</t>
        </is>
      </c>
      <c r="G3" s="38" t="inlineStr">
        <is>
          <t>End Date</t>
        </is>
      </c>
      <c r="H3" s="38" t="inlineStr">
        <is>
          <t>Duration (Days)</t>
        </is>
      </c>
      <c r="I3" s="38" t="inlineStr">
        <is>
          <t>Status</t>
        </is>
      </c>
      <c r="J3" s="38" t="inlineStr">
        <is>
          <t>% Complete</t>
        </is>
      </c>
      <c r="K3" s="38" t="inlineStr">
        <is>
          <t>Priority</t>
        </is>
      </c>
      <c r="L3" s="38" t="inlineStr">
        <is>
          <t>Daily Rate (₹)</t>
        </is>
      </c>
      <c r="M3" s="38" t="inlineStr">
        <is>
          <t>Hours</t>
        </is>
      </c>
      <c r="N3" s="38" t="inlineStr">
        <is>
          <t>Revenue (₹)</t>
        </is>
      </c>
      <c r="O3" s="38" t="inlineStr">
        <is>
          <t>Notes</t>
        </is>
      </c>
      <c r="P3" s="38" t="inlineStr">
        <is>
          <t>Flag</t>
        </is>
      </c>
      <c r="Q3" s="38" t="n"/>
      <c r="R3" s="38" t="n"/>
    </row>
    <row r="4" ht="15" customHeight="1" s="203">
      <c r="A4" s="45" t="n">
        <v>1</v>
      </c>
      <c r="B4" s="46" t="inlineStr">
        <is>
          <t>Remove Duplicates — CRM Export Cleaning</t>
        </is>
      </c>
      <c r="C4" s="45" t="inlineStr">
        <is>
          <t>Phase 1</t>
        </is>
      </c>
      <c r="D4" s="45" t="inlineStr">
        <is>
          <t>Rahul Mehta</t>
        </is>
      </c>
      <c r="E4" s="45" t="inlineStr">
        <is>
          <t>BI &amp; Analytics</t>
        </is>
      </c>
      <c r="F4" s="47" t="n">
        <v>45375</v>
      </c>
      <c r="G4" s="47" t="n">
        <v>45385</v>
      </c>
      <c r="H4" s="45">
        <f>IF(OR(F4="",G4=""),"",G4-F4)</f>
        <v/>
      </c>
      <c r="I4" s="45">
        <f>IFERROR(IF(VALUE(SUBSTITUTE(SUBSTITUTE(J4,"%","")," ",""))&lt;=0,"Not Started",IF(VALUE(SUBSTITUTE(SUBSTITUTE(J4,"%","")," ",""))&gt;=100,"Completed","In Progress")),"Not Started")</f>
        <v/>
      </c>
      <c r="J4" s="48" t="n">
        <v>1</v>
      </c>
      <c r="K4" s="45" t="inlineStr">
        <is>
          <t>High</t>
        </is>
      </c>
      <c r="L4" s="49" t="n">
        <v>2000</v>
      </c>
      <c r="M4" s="45" t="n">
        <v>140</v>
      </c>
      <c r="N4" s="49">
        <f>IF(OR(L4="",H4=""),"",L4*H4)</f>
        <v/>
      </c>
      <c r="O4" s="45" t="inlineStr">
        <is>
          <t>Extra spaces detected</t>
        </is>
      </c>
      <c r="P4" s="45">
        <f>IFERROR(IF(VALUE(SUBSTITUTE(SUBSTITUTE(J4,"%","")," ",""))&gt;=100,"Completed",IF(VALUE(SUBSTITUTE(SUBSTITUTE(J4,"%","")," ",""))&lt;=0,"Not Started","In Progress")),"Not Started")</f>
        <v/>
      </c>
      <c r="Q4" s="45" t="n"/>
      <c r="R4" s="45" t="n"/>
    </row>
    <row r="5" ht="15" customHeight="1" s="203">
      <c r="A5" s="50" t="n">
        <v>2</v>
      </c>
      <c r="B5" s="51" t="inlineStr">
        <is>
          <t>Trim Extra Spaces — Customer Name Import</t>
        </is>
      </c>
      <c r="C5" s="50" t="inlineStr">
        <is>
          <t>Phase 2</t>
        </is>
      </c>
      <c r="D5" s="50" t="inlineStr">
        <is>
          <t>Sunita Verma</t>
        </is>
      </c>
      <c r="E5" s="50" t="inlineStr">
        <is>
          <t>Business Intel.</t>
        </is>
      </c>
      <c r="F5" s="52" t="n">
        <v>45420</v>
      </c>
      <c r="G5" s="52" t="n">
        <v>45427</v>
      </c>
      <c r="H5" s="50">
        <f>IF(OR(F5="",G5=""),"",G5-F5)</f>
        <v/>
      </c>
      <c r="I5" s="50">
        <f>IFERROR(IF(VALUE(SUBSTITUTE(SUBSTITUTE(J5,"%","")," ",""))&lt;=0,"Not Started",IF(VALUE(SUBSTITUTE(SUBSTITUTE(J5,"%","")," ",""))&gt;=100,"Completed","In Progress")),"Not Started")</f>
        <v/>
      </c>
      <c r="J5" s="53" t="n">
        <v>1</v>
      </c>
      <c r="K5" s="50" t="inlineStr">
        <is>
          <t>Critical</t>
        </is>
      </c>
      <c r="L5" s="54" t="n">
        <v>4000</v>
      </c>
      <c r="M5" s="50" t="n">
        <v>100</v>
      </c>
      <c r="N5" s="54">
        <f>IF(OR(L5="",H5=""),"",L5*H5)</f>
        <v/>
      </c>
      <c r="O5" s="50" t="inlineStr">
        <is>
          <t>Extra spaces detected</t>
        </is>
      </c>
      <c r="P5" s="50">
        <f>IFERROR(IF(VALUE(SUBSTITUTE(SUBSTITUTE(J5,"%","")," ",""))&gt;=100,"Completed",IF(VALUE(SUBSTITUTE(SUBSTITUTE(J5,"%","")," ",""))&lt;=0,"Not Started","In Progress")),"Not Started")</f>
        <v/>
      </c>
      <c r="Q5" s="50" t="n"/>
      <c r="R5" s="50" t="n"/>
    </row>
    <row r="6" ht="15" customHeight="1" s="203">
      <c r="A6" s="50" t="n">
        <v>3</v>
      </c>
      <c r="B6" s="51" t="inlineStr">
        <is>
          <t>Standardize Text Case — Region Codes</t>
        </is>
      </c>
      <c r="C6" s="50" t="inlineStr">
        <is>
          <t>Phase 3</t>
        </is>
      </c>
      <c r="D6" s="50" t="inlineStr">
        <is>
          <t>Sunita Verma</t>
        </is>
      </c>
      <c r="E6" s="50" t="inlineStr">
        <is>
          <t>Data Platform</t>
        </is>
      </c>
      <c r="F6" s="52" t="n">
        <v>45338</v>
      </c>
      <c r="G6" s="52" t="n">
        <v>45350</v>
      </c>
      <c r="H6" s="50">
        <f>IF(OR(F6="",G6=""),"",G6-F6)</f>
        <v/>
      </c>
      <c r="I6" s="50">
        <f>IFERROR(IF(VALUE(SUBSTITUTE(SUBSTITUTE(J6,"%","")," ",""))&lt;=0,"Not Started",IF(VALUE(SUBSTITUTE(SUBSTITUTE(J6,"%","")," ",""))&gt;=100,"Completed","In Progress")),"Not Started")</f>
        <v/>
      </c>
      <c r="J6" s="53" t="n">
        <v>0</v>
      </c>
      <c r="K6" s="50" t="inlineStr">
        <is>
          <t>Critical</t>
        </is>
      </c>
      <c r="L6" s="54" t="n">
        <v>4200</v>
      </c>
      <c r="M6" s="50" t="n">
        <v>140</v>
      </c>
      <c r="N6" s="54">
        <f>IF(OR(L6="",H6=""),"",L6*H6)</f>
        <v/>
      </c>
      <c r="O6" s="50" t="inlineStr">
        <is>
          <t>—</t>
        </is>
      </c>
      <c r="P6" s="50">
        <f>IFERROR(IF(VALUE(SUBSTITUTE(SUBSTITUTE(J6,"%","")," ",""))&gt;=100,"Completed",IF(VALUE(SUBSTITUTE(SUBSTITUTE(J6,"%","")," ",""))&lt;=0,"Not Started","In Progress")),"Not Started")</f>
        <v/>
      </c>
      <c r="Q6" s="50" t="n"/>
      <c r="R6" s="50" t="n"/>
    </row>
    <row r="7" ht="15" customHeight="1" s="203">
      <c r="A7" s="45" t="n">
        <v>4</v>
      </c>
      <c r="B7" s="46" t="inlineStr">
        <is>
          <t>Fix Date Formats — Legacy System Dates</t>
        </is>
      </c>
      <c r="C7" s="45" t="inlineStr">
        <is>
          <t>Phase 4</t>
        </is>
      </c>
      <c r="D7" s="45" t="inlineStr">
        <is>
          <t>Sunita Verma</t>
        </is>
      </c>
      <c r="E7" s="45" t="inlineStr">
        <is>
          <t>Quality Assur.</t>
        </is>
      </c>
      <c r="F7" s="47" t="n">
        <v>45341</v>
      </c>
      <c r="G7" s="47" t="n">
        <v>45348</v>
      </c>
      <c r="H7" s="45">
        <f>IF(OR(F7="",G7=""),"",G7-F7)</f>
        <v/>
      </c>
      <c r="I7" s="45">
        <f>IFERROR(IF(VALUE(SUBSTITUTE(SUBSTITUTE(J7,"%","")," ",""))&lt;=0,"Not Started",IF(VALUE(SUBSTITUTE(SUBSTITUTE(J7,"%","")," ",""))&gt;=100,"Completed","In Progress")),"Not Started")</f>
        <v/>
      </c>
      <c r="J7" s="48" t="n">
        <v>0.75</v>
      </c>
      <c r="K7" s="45" t="inlineStr">
        <is>
          <t>High</t>
        </is>
      </c>
      <c r="L7" s="49" t="n">
        <v>4200</v>
      </c>
      <c r="M7" s="45" t="n">
        <v>0</v>
      </c>
      <c r="N7" s="49">
        <f>IF(OR(L7="",H7=""),"",L7*H7)</f>
        <v/>
      </c>
      <c r="O7" s="45" t="inlineStr">
        <is>
          <t>Pending review</t>
        </is>
      </c>
      <c r="P7" s="45">
        <f>IFERROR(IF(VALUE(SUBSTITUTE(SUBSTITUTE(J7,"%","")," ",""))&gt;=100,"Completed",IF(VALUE(SUBSTITUTE(SUBSTITUTE(J7,"%","")," ",""))&lt;=0,"Not Started","In Progress")),"Not Started")</f>
        <v/>
      </c>
      <c r="Q7" s="45" t="n"/>
      <c r="R7" s="45" t="n"/>
    </row>
    <row r="8" ht="15" customHeight="1" s="203">
      <c r="A8" s="50" t="n">
        <v>5</v>
      </c>
      <c r="B8" s="51" t="inlineStr">
        <is>
          <t>Handle Missing Values — Customer Database</t>
        </is>
      </c>
      <c r="C8" s="50" t="inlineStr">
        <is>
          <t>Phase 1</t>
        </is>
      </c>
      <c r="D8" s="50" t="inlineStr">
        <is>
          <t>Arjun Pillai</t>
        </is>
      </c>
      <c r="E8" s="50" t="inlineStr">
        <is>
          <t>PMO</t>
        </is>
      </c>
      <c r="F8" s="52" t="n">
        <v>45346</v>
      </c>
      <c r="G8" s="52" t="n">
        <v>45374</v>
      </c>
      <c r="H8" s="50">
        <f>IF(OR(F8="",G8=""),"",G8-F8)</f>
        <v/>
      </c>
      <c r="I8" s="50">
        <f>IFERROR(IF(VALUE(SUBSTITUTE(SUBSTITUTE(J8,"%","")," ",""))&lt;=0,"Not Started",IF(VALUE(SUBSTITUTE(SUBSTITUTE(J8,"%","")," ",""))&gt;=100,"Completed","In Progress")),"Not Started")</f>
        <v/>
      </c>
      <c r="J8" s="53" t="n">
        <v>0</v>
      </c>
      <c r="K8" s="50" t="inlineStr">
        <is>
          <t>Critical</t>
        </is>
      </c>
      <c r="L8" s="54" t="n">
        <v>4200</v>
      </c>
      <c r="M8" s="50" t="n">
        <v>0</v>
      </c>
      <c r="N8" s="54">
        <f>IF(OR(L8="",H8=""),"",L8*H8)</f>
        <v/>
      </c>
      <c r="O8" s="50" t="inlineStr">
        <is>
          <t>Pending review</t>
        </is>
      </c>
      <c r="P8" s="50">
        <f>IFERROR(IF(VALUE(SUBSTITUTE(SUBSTITUTE(J8,"%","")," ",""))&gt;=100,"Completed",IF(VALUE(SUBSTITUTE(SUBSTITUTE(J8,"%","")," ",""))&lt;=0,"Not Started","In Progress")),"Not Started")</f>
        <v/>
      </c>
      <c r="Q8" s="50" t="n"/>
      <c r="R8" s="50" t="n"/>
    </row>
    <row r="9" ht="15" customHeight="1" s="203">
      <c r="A9" s="50" t="n">
        <v>6</v>
      </c>
      <c r="B9" s="51" t="inlineStr">
        <is>
          <t>Split Combined Columns — Contact Database</t>
        </is>
      </c>
      <c r="C9" s="50" t="inlineStr">
        <is>
          <t>Phase 2</t>
        </is>
      </c>
      <c r="D9" s="50" t="inlineStr">
        <is>
          <t>Arjun Pillai</t>
        </is>
      </c>
      <c r="E9" s="50" t="inlineStr">
        <is>
          <t>BI &amp; Analytics</t>
        </is>
      </c>
      <c r="F9" s="52" t="n">
        <v>45433</v>
      </c>
      <c r="G9" s="52" t="n">
        <v>45440</v>
      </c>
      <c r="H9" s="50">
        <f>IF(OR(F9="",G9=""),"",G9-F9)</f>
        <v/>
      </c>
      <c r="I9" s="50">
        <f>IFERROR(IF(VALUE(SUBSTITUTE(SUBSTITUTE(J9,"%","")," ",""))&lt;=0,"Not Started",IF(VALUE(SUBSTITUTE(SUBSTITUTE(J9,"%","")," ",""))&gt;=100,"Completed","In Progress")),"Not Started")</f>
        <v/>
      </c>
      <c r="J9" s="53" t="n">
        <v>1</v>
      </c>
      <c r="K9" s="50" t="inlineStr">
        <is>
          <t>Critical</t>
        </is>
      </c>
      <c r="L9" s="54" t="n">
        <v>5500</v>
      </c>
      <c r="M9" s="50" t="n">
        <v>168</v>
      </c>
      <c r="N9" s="54">
        <f>IF(OR(L9="",H9=""),"",L9*H9)</f>
        <v/>
      </c>
      <c r="O9" s="50" t="inlineStr">
        <is>
          <t>Extra spaces detected</t>
        </is>
      </c>
      <c r="P9" s="50">
        <f>IFERROR(IF(VALUE(SUBSTITUTE(SUBSTITUTE(J9,"%","")," ",""))&gt;=100,"Completed",IF(VALUE(SUBSTITUTE(SUBSTITUTE(J9,"%","")," ",""))&lt;=0,"Not Started","In Progress")),"Not Started")</f>
        <v/>
      </c>
      <c r="Q9" s="50" t="n"/>
      <c r="R9" s="50" t="n"/>
    </row>
    <row r="10" ht="15" customHeight="1" s="203">
      <c r="A10" s="55" t="n">
        <v>7</v>
      </c>
      <c r="B10" s="56" t="inlineStr">
        <is>
          <t>Remove Non-Numeric Chars — Revenue Data</t>
        </is>
      </c>
      <c r="C10" s="55" t="inlineStr">
        <is>
          <t>Phase 3</t>
        </is>
      </c>
      <c r="D10" s="55" t="inlineStr">
        <is>
          <t>Karan Malhotra</t>
        </is>
      </c>
      <c r="E10" s="55" t="inlineStr">
        <is>
          <t>Business Intel.</t>
        </is>
      </c>
      <c r="F10" s="57" t="n">
        <v>45412</v>
      </c>
      <c r="G10" s="57" t="n">
        <v>45426</v>
      </c>
      <c r="H10" s="55">
        <f>IF(OR(F10="",G10=""),"",G10-F10)</f>
        <v/>
      </c>
      <c r="I10" s="55">
        <f>IFERROR(IF(VALUE(SUBSTITUTE(SUBSTITUTE(J10,"%","")," ",""))&lt;=0,"Not Started",IF(VALUE(SUBSTITUTE(SUBSTITUTE(J10,"%","")," ",""))&gt;=100,"Completed","In Progress")),"Not Started")</f>
        <v/>
      </c>
      <c r="J10" s="58" t="n">
        <v>1</v>
      </c>
      <c r="K10" s="55" t="inlineStr">
        <is>
          <t>High</t>
        </is>
      </c>
      <c r="L10" s="59" t="n">
        <v>5500</v>
      </c>
      <c r="M10" s="55" t="n">
        <v>168</v>
      </c>
      <c r="N10" s="59">
        <f>IF(OR(L10="",H10=""),"",L10*H10)</f>
        <v/>
      </c>
      <c r="O10" s="55" t="inlineStr">
        <is>
          <t>—</t>
        </is>
      </c>
      <c r="P10" s="55">
        <f>IFERROR(IF(VALUE(SUBSTITUTE(SUBSTITUTE(J10,"%","")," ",""))&gt;=100,"Completed",IF(VALUE(SUBSTITUTE(SUBSTITUTE(J10,"%","")," ",""))&lt;=0,"Not Started","In Progress")),"Not Started")</f>
        <v/>
      </c>
      <c r="Q10" s="55" t="n"/>
      <c r="R10" s="55" t="n"/>
    </row>
    <row r="11" ht="15" customHeight="1" s="203">
      <c r="A11" s="50" t="n">
        <v>8</v>
      </c>
      <c r="B11" s="51" t="inlineStr">
        <is>
          <t>Validate Data Ranges — HR Age Dataset</t>
        </is>
      </c>
      <c r="C11" s="50" t="inlineStr">
        <is>
          <t>Phase 4</t>
        </is>
      </c>
      <c r="D11" s="50" t="inlineStr">
        <is>
          <t>Karan Malhotra</t>
        </is>
      </c>
      <c r="E11" s="50" t="inlineStr">
        <is>
          <t>Data Platform</t>
        </is>
      </c>
      <c r="F11" s="52" t="n">
        <v>45302</v>
      </c>
      <c r="G11" s="52" t="n">
        <v>45330</v>
      </c>
      <c r="H11" s="50">
        <f>IF(OR(F11="",G11=""),"",G11-F11)</f>
        <v/>
      </c>
      <c r="I11" s="50">
        <f>IFERROR(IF(VALUE(SUBSTITUTE(SUBSTITUTE(J11,"%","")," ",""))&lt;=0,"Not Started",IF(VALUE(SUBSTITUTE(SUBSTITUTE(J11,"%","")," ",""))&gt;=100,"Completed","In Progress")),"Not Started")</f>
        <v/>
      </c>
      <c r="J11" s="53" t="n">
        <v>0</v>
      </c>
      <c r="K11" s="50" t="inlineStr">
        <is>
          <t>Low</t>
        </is>
      </c>
      <c r="L11" s="54" t="n">
        <v>3500</v>
      </c>
      <c r="M11" s="50" t="n">
        <v>0</v>
      </c>
      <c r="N11" s="54">
        <f>IF(OR(L11="",H11=""),"",L11*H11)</f>
        <v/>
      </c>
      <c r="O11" s="50" t="inlineStr">
        <is>
          <t>—</t>
        </is>
      </c>
      <c r="P11" s="50">
        <f>IFERROR(IF(VALUE(SUBSTITUTE(SUBSTITUTE(J11,"%","")," ",""))&gt;=100,"Completed",IF(VALUE(SUBSTITUTE(SUBSTITUTE(J11,"%","")," ",""))&lt;=0,"Not Started","In Progress")),"Not Started")</f>
        <v/>
      </c>
      <c r="Q11" s="50" t="n"/>
      <c r="R11" s="50" t="n"/>
    </row>
    <row r="12" ht="15" customHeight="1" s="203">
      <c r="A12" s="50" t="n">
        <v>9</v>
      </c>
      <c r="B12" s="51" t="inlineStr">
        <is>
          <t>Standardize Category Labels — Product SKU</t>
        </is>
      </c>
      <c r="C12" s="50" t="inlineStr">
        <is>
          <t>Phase 1</t>
        </is>
      </c>
      <c r="D12" s="50" t="inlineStr">
        <is>
          <t>Siddharth Rao</t>
        </is>
      </c>
      <c r="E12" s="50" t="inlineStr">
        <is>
          <t>Quality Assur.</t>
        </is>
      </c>
      <c r="F12" s="52" t="n">
        <v>45316</v>
      </c>
      <c r="G12" s="52" t="n">
        <v>45326</v>
      </c>
      <c r="H12" s="50">
        <f>IF(OR(F12="",G12=""),"",G12-F12)</f>
        <v/>
      </c>
      <c r="I12" s="50">
        <f>IFERROR(IF(VALUE(SUBSTITUTE(SUBSTITUTE(J12,"%","")," ",""))&lt;=0,"Not Started",IF(VALUE(SUBSTITUTE(SUBSTITUTE(J12,"%","")," ",""))&gt;=100,"Completed","In Progress")),"Not Started")</f>
        <v/>
      </c>
      <c r="J12" s="53" t="n">
        <v>0</v>
      </c>
      <c r="K12" s="50" t="inlineStr">
        <is>
          <t>Critical</t>
        </is>
      </c>
      <c r="L12" s="54" t="n">
        <v>5500</v>
      </c>
      <c r="M12" s="50" t="n">
        <v>0</v>
      </c>
      <c r="N12" s="54">
        <f>IF(OR(L12="",H12=""),"",L12*H12)</f>
        <v/>
      </c>
      <c r="O12" s="50" t="inlineStr">
        <is>
          <t>—</t>
        </is>
      </c>
      <c r="P12" s="50">
        <f>IFERROR(IF(VALUE(SUBSTITUTE(SUBSTITUTE(J12,"%","")," ",""))&gt;=100,"Completed",IF(VALUE(SUBSTITUTE(SUBSTITUTE(J12,"%","")," ",""))&lt;=0,"Not Started","In Progress")),"Not Started")</f>
        <v/>
      </c>
      <c r="Q12" s="50" t="n"/>
      <c r="R12" s="50" t="n"/>
    </row>
    <row r="13" ht="15" customHeight="1" s="203">
      <c r="A13" s="45" t="n">
        <v>10</v>
      </c>
      <c r="B13" s="46" t="inlineStr">
        <is>
          <t>Combine &amp; Reconcile Columns — Address</t>
        </is>
      </c>
      <c r="C13" s="45" t="inlineStr">
        <is>
          <t>Phase 2</t>
        </is>
      </c>
      <c r="D13" s="45" t="inlineStr">
        <is>
          <t>Pooja Iyer</t>
        </is>
      </c>
      <c r="E13" s="45" t="inlineStr">
        <is>
          <t>PMO</t>
        </is>
      </c>
      <c r="F13" s="47" t="n">
        <v>45307</v>
      </c>
      <c r="G13" s="47" t="n">
        <v>45321</v>
      </c>
      <c r="H13" s="45">
        <f>IF(OR(F13="",G13=""),"",G13-F13)</f>
        <v/>
      </c>
      <c r="I13" s="45">
        <f>IFERROR(IF(VALUE(SUBSTITUTE(SUBSTITUTE(J13,"%","")," ",""))&lt;=0,"Not Started",IF(VALUE(SUBSTITUTE(SUBSTITUTE(J13,"%","")," ",""))&gt;=100,"Completed","In Progress")),"Not Started")</f>
        <v/>
      </c>
      <c r="J13" s="48" t="n">
        <v>0.75</v>
      </c>
      <c r="K13" s="45" t="inlineStr">
        <is>
          <t>Critical</t>
        </is>
      </c>
      <c r="L13" s="49" t="n">
        <v>2000</v>
      </c>
      <c r="M13" s="45" t="n">
        <v>120</v>
      </c>
      <c r="N13" s="49">
        <f>IF(OR(L13="",H13=""),"",L13*H13)</f>
        <v/>
      </c>
      <c r="O13" s="45" t="inlineStr">
        <is>
          <t>—</t>
        </is>
      </c>
      <c r="P13" s="45">
        <f>IFERROR(IF(VALUE(SUBSTITUTE(SUBSTITUTE(J13,"%","")," ",""))&gt;=100,"Completed",IF(VALUE(SUBSTITUTE(SUBSTITUTE(J13,"%","")," ",""))&lt;=0,"Not Started","In Progress")),"Not Started")</f>
        <v/>
      </c>
      <c r="Q13" s="45" t="n"/>
      <c r="R13" s="45" t="n"/>
    </row>
    <row r="14" ht="15" customHeight="1" s="203">
      <c r="A14" s="45" t="n">
        <v>11</v>
      </c>
      <c r="B14" s="46" t="inlineStr">
        <is>
          <t>Remove Duplicates — CRM Export Cleaning</t>
        </is>
      </c>
      <c r="C14" s="45" t="inlineStr">
        <is>
          <t>Phase 3</t>
        </is>
      </c>
      <c r="D14" s="45" t="inlineStr">
        <is>
          <t>Meera Pillai</t>
        </is>
      </c>
      <c r="E14" s="45" t="inlineStr">
        <is>
          <t>BI &amp; Analytics</t>
        </is>
      </c>
      <c r="F14" s="47" t="n">
        <v>45413</v>
      </c>
      <c r="G14" s="47" t="n">
        <v>45420</v>
      </c>
      <c r="H14" s="45">
        <f>IF(OR(F14="",G14=""),"",G14-F14)</f>
        <v/>
      </c>
      <c r="I14" s="45">
        <f>IFERROR(IF(VALUE(SUBSTITUTE(SUBSTITUTE(J14,"%","")," ",""))&lt;=0,"Not Started",IF(VALUE(SUBSTITUTE(SUBSTITUTE(J14,"%","")," ",""))&gt;=100,"Completed","In Progress")),"Not Started")</f>
        <v/>
      </c>
      <c r="J14" s="48" t="n">
        <v>0.4</v>
      </c>
      <c r="K14" s="45" t="inlineStr">
        <is>
          <t>High</t>
        </is>
      </c>
      <c r="L14" s="49" t="n">
        <v>3000</v>
      </c>
      <c r="M14" s="45" t="n">
        <v>80</v>
      </c>
      <c r="N14" s="49">
        <f>IF(OR(L14="",H14=""),"",L14*H14)</f>
        <v/>
      </c>
      <c r="O14" s="45" t="inlineStr">
        <is>
          <t>Check formula</t>
        </is>
      </c>
      <c r="P14" s="45">
        <f>IFERROR(IF(VALUE(SUBSTITUTE(SUBSTITUTE(J14,"%","")," ",""))&gt;=100,"Completed",IF(VALUE(SUBSTITUTE(SUBSTITUTE(J14,"%","")," ",""))&lt;=0,"Not Started","In Progress")),"Not Started")</f>
        <v/>
      </c>
      <c r="Q14" s="45" t="n"/>
      <c r="R14" s="45" t="n"/>
    </row>
    <row r="15" ht="15" customHeight="1" s="203">
      <c r="A15" s="45" t="n">
        <v>12</v>
      </c>
      <c r="B15" s="46" t="inlineStr">
        <is>
          <t>Fix Date Formats — Legacy System Dates</t>
        </is>
      </c>
      <c r="C15" s="45" t="inlineStr">
        <is>
          <t>Phase 4</t>
        </is>
      </c>
      <c r="D15" s="45" t="inlineStr">
        <is>
          <t>Sunita Verma</t>
        </is>
      </c>
      <c r="E15" s="45" t="inlineStr">
        <is>
          <t>Quality Assur.</t>
        </is>
      </c>
      <c r="F15" s="47" t="n">
        <v>45341</v>
      </c>
      <c r="G15" s="47" t="n">
        <v>45348</v>
      </c>
      <c r="H15" s="45">
        <f>IF(OR(F15="",G15=""),"",G15-F15)</f>
        <v/>
      </c>
      <c r="I15" s="45">
        <f>IFERROR(IF(VALUE(SUBSTITUTE(SUBSTITUTE(J15,"%","")," ",""))&lt;=0,"Not Started",IF(VALUE(SUBSTITUTE(SUBSTITUTE(J15,"%","")," ",""))&gt;=100,"Completed","In Progress")),"Not Started")</f>
        <v/>
      </c>
      <c r="J15" s="48" t="n">
        <v>0.75</v>
      </c>
      <c r="K15" s="45" t="inlineStr">
        <is>
          <t>High</t>
        </is>
      </c>
      <c r="L15" s="49" t="n">
        <v>4200</v>
      </c>
      <c r="M15" s="45" t="n">
        <v>0</v>
      </c>
      <c r="N15" s="49">
        <f>IF(OR(L15="",H15=""),"",L15*H15)</f>
        <v/>
      </c>
      <c r="O15" s="45" t="inlineStr">
        <is>
          <t>Pending review</t>
        </is>
      </c>
      <c r="P15" s="45">
        <f>IFERROR(IF(VALUE(SUBSTITUTE(SUBSTITUTE(J15,"%","")," ",""))&gt;=100,"Completed",IF(VALUE(SUBSTITUTE(SUBSTITUTE(J15,"%","")," ",""))&lt;=0,"Not Started","In Progress")),"Not Started")</f>
        <v/>
      </c>
      <c r="Q15" s="45" t="n"/>
      <c r="R15" s="45" t="n"/>
    </row>
    <row r="16" ht="15" customHeight="1" s="203">
      <c r="A16" s="50" t="n">
        <v>13</v>
      </c>
      <c r="B16" s="51" t="inlineStr">
        <is>
          <t>Standardize Text Case — Region Codes</t>
        </is>
      </c>
      <c r="C16" s="50" t="inlineStr">
        <is>
          <t>Phase 1</t>
        </is>
      </c>
      <c r="D16" s="50" t="inlineStr">
        <is>
          <t>Ananya Singh</t>
        </is>
      </c>
      <c r="E16" s="50" t="inlineStr">
        <is>
          <t>Data Platform</t>
        </is>
      </c>
      <c r="F16" s="52" t="n">
        <v>45412</v>
      </c>
      <c r="G16" s="52" t="n">
        <v>45433</v>
      </c>
      <c r="H16" s="50">
        <f>IF(OR(F16="",G16=""),"",G16-F16)</f>
        <v/>
      </c>
      <c r="I16" s="50">
        <f>IFERROR(IF(VALUE(SUBSTITUTE(SUBSTITUTE(J16,"%","")," ",""))&lt;=0,"Not Started",IF(VALUE(SUBSTITUTE(SUBSTITUTE(J16,"%","")," ",""))&gt;=100,"Completed","In Progress")),"Not Started")</f>
        <v/>
      </c>
      <c r="J16" s="53" t="n">
        <v>0.65</v>
      </c>
      <c r="K16" s="50" t="inlineStr">
        <is>
          <t>Medium</t>
        </is>
      </c>
      <c r="L16" s="54" t="n">
        <v>3500</v>
      </c>
      <c r="M16" s="50" t="n">
        <v>140</v>
      </c>
      <c r="N16" s="54">
        <f>IF(OR(L16="",H16=""),"",L16*H16)</f>
        <v/>
      </c>
      <c r="O16" s="50" t="inlineStr">
        <is>
          <t>Extra spaces detected</t>
        </is>
      </c>
      <c r="P16" s="50">
        <f>IFERROR(IF(VALUE(SUBSTITUTE(SUBSTITUTE(J16,"%","")," ",""))&gt;=100,"Completed",IF(VALUE(SUBSTITUTE(SUBSTITUTE(J16,"%","")," ",""))&lt;=0,"Not Started","In Progress")),"Not Started")</f>
        <v/>
      </c>
      <c r="Q16" s="50" t="n"/>
      <c r="R16" s="50" t="n"/>
    </row>
    <row r="17" ht="15" customHeight="1" s="203">
      <c r="A17" s="45" t="n">
        <v>14</v>
      </c>
      <c r="B17" s="46" t="inlineStr">
        <is>
          <t>Fix Date Formats — Legacy System Dates</t>
        </is>
      </c>
      <c r="C17" s="45" t="inlineStr">
        <is>
          <t>Phase 2</t>
        </is>
      </c>
      <c r="D17" s="45" t="inlineStr">
        <is>
          <t>Priya Sharma</t>
        </is>
      </c>
      <c r="E17" s="45" t="inlineStr">
        <is>
          <t>Quality Assur.</t>
        </is>
      </c>
      <c r="F17" s="47" t="n">
        <v>45416</v>
      </c>
      <c r="G17" s="47" t="n">
        <v>45423</v>
      </c>
      <c r="H17" s="45">
        <f>IF(OR(F17="",G17=""),"",G17-F17)</f>
        <v/>
      </c>
      <c r="I17" s="45">
        <f>IFERROR(IF(VALUE(SUBSTITUTE(SUBSTITUTE(J17,"%","")," ",""))&lt;=0,"Not Started",IF(VALUE(SUBSTITUTE(SUBSTITUTE(J17,"%","")," ",""))&gt;=100,"Completed","In Progress")),"Not Started")</f>
        <v/>
      </c>
      <c r="J17" s="48" t="n">
        <v>0.75</v>
      </c>
      <c r="K17" s="45" t="inlineStr">
        <is>
          <t>Critical</t>
        </is>
      </c>
      <c r="L17" s="49" t="n">
        <v>3000</v>
      </c>
      <c r="M17" s="45" t="n">
        <v>60</v>
      </c>
      <c r="N17" s="49">
        <f>IF(OR(L17="",H17=""),"",L17*H17)</f>
        <v/>
      </c>
      <c r="O17" s="45" t="inlineStr">
        <is>
          <t>Pending review</t>
        </is>
      </c>
      <c r="P17" s="45">
        <f>IFERROR(IF(VALUE(SUBSTITUTE(SUBSTITUTE(J17,"%","")," ",""))&gt;=100,"Completed",IF(VALUE(SUBSTITUTE(SUBSTITUTE(J17,"%","")," ",""))&lt;=0,"Not Started","In Progress")),"Not Started")</f>
        <v/>
      </c>
      <c r="Q17" s="45" t="n"/>
      <c r="R17" s="45" t="n"/>
    </row>
    <row r="18" ht="15" customHeight="1" s="203">
      <c r="A18" s="45" t="n">
        <v>15</v>
      </c>
      <c r="B18" s="46" t="inlineStr">
        <is>
          <t>Handle Missing Values — Customer Database</t>
        </is>
      </c>
      <c r="C18" s="45" t="inlineStr">
        <is>
          <t>Phase 3</t>
        </is>
      </c>
      <c r="D18" s="45" t="inlineStr">
        <is>
          <t>Lakshmi Nair</t>
        </is>
      </c>
      <c r="E18" s="45" t="inlineStr">
        <is>
          <t>PMO</t>
        </is>
      </c>
      <c r="F18" s="47" t="n">
        <v>45313</v>
      </c>
      <c r="G18" s="47" t="n">
        <v>45327</v>
      </c>
      <c r="H18" s="45">
        <f>IF(OR(F18="",G18=""),"",G18-F18)</f>
        <v/>
      </c>
      <c r="I18" s="45">
        <f>IFERROR(IF(VALUE(SUBSTITUTE(SUBSTITUTE(J18,"%","")," ",""))&lt;=0,"Not Started",IF(VALUE(SUBSTITUTE(SUBSTITUTE(J18,"%","")," ",""))&gt;=100,"Completed","In Progress")),"Not Started")</f>
        <v/>
      </c>
      <c r="J18" s="48" t="n">
        <v>0.75</v>
      </c>
      <c r="K18" s="45" t="inlineStr">
        <is>
          <t>Critical</t>
        </is>
      </c>
      <c r="L18" s="49" t="n">
        <v>4000</v>
      </c>
      <c r="M18" s="45" t="n">
        <v>140</v>
      </c>
      <c r="N18" s="49">
        <f>IF(OR(L18="",H18=""),"",L18*H18)</f>
        <v/>
      </c>
      <c r="O18" s="45" t="inlineStr">
        <is>
          <t>—</t>
        </is>
      </c>
      <c r="P18" s="45">
        <f>IFERROR(IF(VALUE(SUBSTITUTE(SUBSTITUTE(J18,"%","")," ",""))&gt;=100,"Completed",IF(VALUE(SUBSTITUTE(SUBSTITUTE(J18,"%","")," ",""))&lt;=0,"Not Started","In Progress")),"Not Started")</f>
        <v/>
      </c>
      <c r="Q18" s="45" t="n"/>
      <c r="R18" s="45" t="n"/>
    </row>
    <row r="19" ht="15" customHeight="1" s="203">
      <c r="A19" s="55" t="n">
        <v>16</v>
      </c>
      <c r="B19" s="56" t="inlineStr">
        <is>
          <t>Split Combined Columns — Contact Database</t>
        </is>
      </c>
      <c r="C19" s="55" t="inlineStr">
        <is>
          <t>Phase 4</t>
        </is>
      </c>
      <c r="D19" s="55" t="inlineStr">
        <is>
          <t>Amit Roy</t>
        </is>
      </c>
      <c r="E19" s="55" t="inlineStr">
        <is>
          <t>BI &amp; Analytics</t>
        </is>
      </c>
      <c r="F19" s="57" t="n">
        <v>45394</v>
      </c>
      <c r="G19" s="57" t="n">
        <v>45404</v>
      </c>
      <c r="H19" s="55">
        <f>IF(OR(F19="",G19=""),"",G19-F19)</f>
        <v/>
      </c>
      <c r="I19" s="55">
        <f>IFERROR(IF(VALUE(SUBSTITUTE(SUBSTITUTE(J19,"%","")," ",""))&lt;=0,"Not Started",IF(VALUE(SUBSTITUTE(SUBSTITUTE(J19,"%","")," ",""))&gt;=100,"Completed","In Progress")),"Not Started")</f>
        <v/>
      </c>
      <c r="J19" s="58" t="n">
        <v>1</v>
      </c>
      <c r="K19" s="55" t="inlineStr">
        <is>
          <t>Low</t>
        </is>
      </c>
      <c r="L19" s="59" t="n">
        <v>3500</v>
      </c>
      <c r="M19" s="55" t="n">
        <v>140</v>
      </c>
      <c r="N19" s="59">
        <f>IF(OR(L19="",H19=""),"",L19*H19)</f>
        <v/>
      </c>
      <c r="O19" s="55" t="inlineStr">
        <is>
          <t>Verified OK</t>
        </is>
      </c>
      <c r="P19" s="55">
        <f>IFERROR(IF(VALUE(SUBSTITUTE(SUBSTITUTE(J19,"%","")," ",""))&gt;=100,"Completed",IF(VALUE(SUBSTITUTE(SUBSTITUTE(J19,"%","")," ",""))&lt;=0,"Not Started","In Progress")),"Not Started")</f>
        <v/>
      </c>
      <c r="Q19" s="55" t="n"/>
      <c r="R19" s="55" t="n"/>
    </row>
    <row r="20" ht="15" customHeight="1" s="203">
      <c r="A20" s="55" t="n">
        <v>17</v>
      </c>
      <c r="B20" s="56" t="inlineStr">
        <is>
          <t>Remove Non-Numeric Chars — Revenue Data</t>
        </is>
      </c>
      <c r="C20" s="55" t="inlineStr">
        <is>
          <t>Phase 1</t>
        </is>
      </c>
      <c r="D20" s="55" t="inlineStr">
        <is>
          <t>Rahul Mehta</t>
        </is>
      </c>
      <c r="E20" s="55" t="inlineStr">
        <is>
          <t>Business Intel.</t>
        </is>
      </c>
      <c r="F20" s="57" t="n">
        <v>45363</v>
      </c>
      <c r="G20" s="57" t="n">
        <v>45375</v>
      </c>
      <c r="H20" s="55">
        <f>IF(OR(F20="",G20=""),"",G20-F20)</f>
        <v/>
      </c>
      <c r="I20" s="55">
        <f>IFERROR(IF(VALUE(SUBSTITUTE(SUBSTITUTE(J20,"%","")," ",""))&lt;=0,"Not Started",IF(VALUE(SUBSTITUTE(SUBSTITUTE(J20,"%","")," ",""))&gt;=100,"Completed","In Progress")),"Not Started")</f>
        <v/>
      </c>
      <c r="J20" s="58" t="n">
        <v>0.75</v>
      </c>
      <c r="K20" s="55" t="inlineStr">
        <is>
          <t>Low</t>
        </is>
      </c>
      <c r="L20" s="59" t="n">
        <v>5500</v>
      </c>
      <c r="M20" s="55" t="n">
        <v>168</v>
      </c>
      <c r="N20" s="59">
        <f>IF(OR(L20="",H20=""),"",L20*H20)</f>
        <v/>
      </c>
      <c r="O20" s="55" t="inlineStr">
        <is>
          <t>—</t>
        </is>
      </c>
      <c r="P20" s="55">
        <f>IFERROR(IF(VALUE(SUBSTITUTE(SUBSTITUTE(J20,"%","")," ",""))&gt;=100,"Completed",IF(VALUE(SUBSTITUTE(SUBSTITUTE(J20,"%","")," ",""))&lt;=0,"Not Started","In Progress")),"Not Started")</f>
        <v/>
      </c>
      <c r="Q20" s="55" t="n"/>
      <c r="R20" s="55" t="n"/>
    </row>
    <row r="21" ht="15" customHeight="1" s="203">
      <c r="A21" s="55" t="n">
        <v>18</v>
      </c>
      <c r="B21" s="56" t="inlineStr">
        <is>
          <t>Validate Data Ranges — HR Age Dataset</t>
        </is>
      </c>
      <c r="C21" s="55" t="inlineStr">
        <is>
          <t>Phase 2</t>
        </is>
      </c>
      <c r="D21" s="55" t="inlineStr">
        <is>
          <t>Sunita Verma</t>
        </is>
      </c>
      <c r="E21" s="55" t="inlineStr">
        <is>
          <t>Data Platform</t>
        </is>
      </c>
      <c r="F21" s="57" t="n">
        <v>45388</v>
      </c>
      <c r="G21" s="57" t="n">
        <v>45416</v>
      </c>
      <c r="H21" s="55">
        <f>IF(OR(F21="",G21=""),"",G21-F21)</f>
        <v/>
      </c>
      <c r="I21" s="55">
        <f>IFERROR(IF(VALUE(SUBSTITUTE(SUBSTITUTE(J21,"%","")," ",""))&lt;=0,"Not Started",IF(VALUE(SUBSTITUTE(SUBSTITUTE(J21,"%","")," ",""))&gt;=100,"Completed","In Progress")),"Not Started")</f>
        <v/>
      </c>
      <c r="J21" s="58" t="n">
        <v>0</v>
      </c>
      <c r="K21" s="55" t="inlineStr">
        <is>
          <t>Medium</t>
        </is>
      </c>
      <c r="L21" s="59" t="n">
        <v>3500</v>
      </c>
      <c r="M21" s="55" t="n">
        <v>80</v>
      </c>
      <c r="N21" s="59">
        <f>IF(OR(L21="",H21=""),"",L21*H21)</f>
        <v/>
      </c>
      <c r="O21" s="55" t="inlineStr">
        <is>
          <t>Check formula</t>
        </is>
      </c>
      <c r="P21" s="55">
        <f>IFERROR(IF(VALUE(SUBSTITUTE(SUBSTITUTE(J21,"%","")," ",""))&gt;=100,"Completed",IF(VALUE(SUBSTITUTE(SUBSTITUTE(J21,"%","")," ",""))&lt;=0,"Not Started","In Progress")),"Not Started")</f>
        <v/>
      </c>
      <c r="Q21" s="55" t="n"/>
      <c r="R21" s="55" t="n"/>
    </row>
    <row r="22" ht="15" customHeight="1" s="203">
      <c r="A22" s="55" t="n">
        <v>19</v>
      </c>
      <c r="B22" s="56" t="inlineStr">
        <is>
          <t>Standardize Category Labels — Product SKU</t>
        </is>
      </c>
      <c r="C22" s="55" t="inlineStr">
        <is>
          <t>Phase 3</t>
        </is>
      </c>
      <c r="D22" s="55" t="inlineStr">
        <is>
          <t>Deepa Krishnan</t>
        </is>
      </c>
      <c r="E22" s="55" t="inlineStr">
        <is>
          <t>Quality Assur.</t>
        </is>
      </c>
      <c r="F22" s="57" t="n">
        <v>45304</v>
      </c>
      <c r="G22" s="57" t="n">
        <v>45314</v>
      </c>
      <c r="H22" s="55">
        <f>IF(OR(F22="",G22=""),"",G22-F22)</f>
        <v/>
      </c>
      <c r="I22" s="55">
        <f>IFERROR(IF(VALUE(SUBSTITUTE(SUBSTITUTE(J22,"%","")," ",""))&lt;=0,"Not Started",IF(VALUE(SUBSTITUTE(SUBSTITUTE(J22,"%","")," ",""))&gt;=100,"Completed","In Progress")),"Not Started")</f>
        <v/>
      </c>
      <c r="J22" s="58" t="n">
        <v>0.65</v>
      </c>
      <c r="K22" s="55" t="inlineStr">
        <is>
          <t>Critical</t>
        </is>
      </c>
      <c r="L22" s="59" t="n">
        <v>2000</v>
      </c>
      <c r="M22" s="55" t="n">
        <v>80</v>
      </c>
      <c r="N22" s="59">
        <f>IF(OR(L22="",H22=""),"",L22*H22)</f>
        <v/>
      </c>
      <c r="O22" s="55" t="inlineStr">
        <is>
          <t>Check formula</t>
        </is>
      </c>
      <c r="P22" s="55">
        <f>IFERROR(IF(VALUE(SUBSTITUTE(SUBSTITUTE(J22,"%","")," ",""))&gt;=100,"Completed",IF(VALUE(SUBSTITUTE(SUBSTITUTE(J22,"%","")," ",""))&lt;=0,"Not Started","In Progress")),"Not Started")</f>
        <v/>
      </c>
      <c r="Q22" s="55" t="n"/>
      <c r="R22" s="55" t="n"/>
    </row>
    <row r="23" ht="15" customHeight="1" s="203">
      <c r="A23" s="55" t="n">
        <v>20</v>
      </c>
      <c r="B23" s="56" t="inlineStr">
        <is>
          <t>Combine &amp; Reconcile Columns — Address</t>
        </is>
      </c>
      <c r="C23" s="55" t="inlineStr">
        <is>
          <t>Phase 4</t>
        </is>
      </c>
      <c r="D23" s="55" t="inlineStr">
        <is>
          <t>Vikram Nair</t>
        </is>
      </c>
      <c r="E23" s="55" t="inlineStr">
        <is>
          <t>PMO</t>
        </is>
      </c>
      <c r="F23" s="57" t="n">
        <v>45379</v>
      </c>
      <c r="G23" s="57" t="n">
        <v>45386</v>
      </c>
      <c r="H23" s="55">
        <f>IF(OR(F23="",G23=""),"",G23-F23)</f>
        <v/>
      </c>
      <c r="I23" s="55">
        <f>IFERROR(IF(VALUE(SUBSTITUTE(SUBSTITUTE(J23,"%","")," ",""))&lt;=0,"Not Started",IF(VALUE(SUBSTITUTE(SUBSTITUTE(J23,"%","")," ",""))&gt;=100,"Completed","In Progress")),"Not Started")</f>
        <v/>
      </c>
      <c r="J23" s="58" t="n">
        <v>0</v>
      </c>
      <c r="K23" s="55" t="inlineStr">
        <is>
          <t>Low</t>
        </is>
      </c>
      <c r="L23" s="59" t="n">
        <v>5000</v>
      </c>
      <c r="M23" s="55" t="n">
        <v>140</v>
      </c>
      <c r="N23" s="59">
        <f>IF(OR(L23="",H23=""),"",L23*H23)</f>
        <v/>
      </c>
      <c r="O23" s="55" t="inlineStr">
        <is>
          <t>Verified OK</t>
        </is>
      </c>
      <c r="P23" s="55">
        <f>IFERROR(IF(VALUE(SUBSTITUTE(SUBSTITUTE(J23,"%","")," ",""))&gt;=100,"Completed",IF(VALUE(SUBSTITUTE(SUBSTITUTE(J23,"%","")," ",""))&lt;=0,"Not Started","In Progress")),"Not Started")</f>
        <v/>
      </c>
      <c r="Q23" s="55" t="n"/>
      <c r="R23" s="55" t="n"/>
    </row>
    <row r="24" ht="15" customHeight="1" s="203">
      <c r="A24" s="50" t="n">
        <v>21</v>
      </c>
      <c r="B24" s="51" t="inlineStr">
        <is>
          <t>Remove Duplicates — CRM Export Cleaning</t>
        </is>
      </c>
      <c r="C24" s="50" t="inlineStr">
        <is>
          <t>Phase 1</t>
        </is>
      </c>
      <c r="D24" s="50" t="inlineStr">
        <is>
          <t>Neha Joshi</t>
        </is>
      </c>
      <c r="E24" s="50" t="inlineStr">
        <is>
          <t>BI &amp; Analytics</t>
        </is>
      </c>
      <c r="F24" s="52" t="n">
        <v>45293</v>
      </c>
      <c r="G24" s="52" t="n">
        <v>45300</v>
      </c>
      <c r="H24" s="50">
        <f>IF(OR(F24="",G24=""),"",G24-F24)</f>
        <v/>
      </c>
      <c r="I24" s="50">
        <f>IFERROR(IF(VALUE(SUBSTITUTE(SUBSTITUTE(J24,"%","")," ",""))&lt;=0,"Not Started",IF(VALUE(SUBSTITUTE(SUBSTITUTE(J24,"%","")," ",""))&gt;=100,"Completed","In Progress")),"Not Started")</f>
        <v/>
      </c>
      <c r="J24" s="53" t="n">
        <v>0.5</v>
      </c>
      <c r="K24" s="50" t="inlineStr">
        <is>
          <t>High</t>
        </is>
      </c>
      <c r="L24" s="54" t="n">
        <v>4000</v>
      </c>
      <c r="M24" s="50" t="n">
        <v>80</v>
      </c>
      <c r="N24" s="54">
        <f>IF(OR(L24="",H24=""),"",L24*H24)</f>
        <v/>
      </c>
      <c r="O24" s="50" t="inlineStr">
        <is>
          <t>—</t>
        </is>
      </c>
      <c r="P24" s="50">
        <f>IFERROR(IF(VALUE(SUBSTITUTE(SUBSTITUTE(J24,"%","")," ",""))&gt;=100,"Completed",IF(VALUE(SUBSTITUTE(SUBSTITUTE(J24,"%","")," ",""))&lt;=0,"Not Started","In Progress")),"Not Started")</f>
        <v/>
      </c>
      <c r="Q24" s="50" t="n"/>
      <c r="R24" s="50" t="n"/>
    </row>
    <row r="25" ht="15" customHeight="1" s="203">
      <c r="A25" s="45" t="n">
        <v>22</v>
      </c>
      <c r="B25" s="46" t="inlineStr">
        <is>
          <t>Trim Extra Spaces — Customer Name Import</t>
        </is>
      </c>
      <c r="C25" s="45" t="inlineStr">
        <is>
          <t>Phase 2</t>
        </is>
      </c>
      <c r="D25" s="45" t="inlineStr">
        <is>
          <t>Arjun Pillai</t>
        </is>
      </c>
      <c r="E25" s="45" t="inlineStr">
        <is>
          <t>Business Intel.</t>
        </is>
      </c>
      <c r="F25" s="47" t="n">
        <v>45388</v>
      </c>
      <c r="G25" s="47" t="n">
        <v>45398</v>
      </c>
      <c r="H25" s="45">
        <f>IF(OR(F25="",G25=""),"",G25-F25)</f>
        <v/>
      </c>
      <c r="I25" s="45">
        <f>IFERROR(IF(VALUE(SUBSTITUTE(SUBSTITUTE(J25,"%","")," ",""))&lt;=0,"Not Started",IF(VALUE(SUBSTITUTE(SUBSTITUTE(J25,"%","")," ",""))&gt;=100,"Completed","In Progress")),"Not Started")</f>
        <v/>
      </c>
      <c r="J25" s="48" t="n">
        <v>1</v>
      </c>
      <c r="K25" s="45" t="inlineStr">
        <is>
          <t>Medium</t>
        </is>
      </c>
      <c r="L25" s="49" t="n">
        <v>4200</v>
      </c>
      <c r="M25" s="45" t="n">
        <v>140</v>
      </c>
      <c r="N25" s="49">
        <f>IF(OR(L25="",H25=""),"",L25*H25)</f>
        <v/>
      </c>
      <c r="O25" s="45" t="inlineStr">
        <is>
          <t>Check formula</t>
        </is>
      </c>
      <c r="P25" s="45">
        <f>IFERROR(IF(VALUE(SUBSTITUTE(SUBSTITUTE(J25,"%","")," ",""))&gt;=100,"Completed",IF(VALUE(SUBSTITUTE(SUBSTITUTE(J25,"%","")," ",""))&lt;=0,"Not Started","In Progress")),"Not Started")</f>
        <v/>
      </c>
      <c r="Q25" s="45" t="n"/>
      <c r="R25" s="45" t="n"/>
    </row>
    <row r="26" ht="15" customHeight="1" s="203">
      <c r="A26" s="45" t="n">
        <v>23</v>
      </c>
      <c r="B26" s="46" t="inlineStr">
        <is>
          <t>Standardize Text Case — Region Codes</t>
        </is>
      </c>
      <c r="C26" s="45" t="inlineStr">
        <is>
          <t>Phase 3</t>
        </is>
      </c>
      <c r="D26" s="45" t="inlineStr">
        <is>
          <t>Pooja Iyer</t>
        </is>
      </c>
      <c r="E26" s="45" t="inlineStr">
        <is>
          <t>Data Platform</t>
        </is>
      </c>
      <c r="F26" s="47" t="n">
        <v>45314</v>
      </c>
      <c r="G26" s="47" t="n">
        <v>45321</v>
      </c>
      <c r="H26" s="45">
        <f>IF(OR(F26="",G26=""),"",G26-F26)</f>
        <v/>
      </c>
      <c r="I26" s="45">
        <f>IFERROR(IF(VALUE(SUBSTITUTE(SUBSTITUTE(J26,"%","")," ",""))&lt;=0,"Not Started",IF(VALUE(SUBSTITUTE(SUBSTITUTE(J26,"%","")," ",""))&gt;=100,"Completed","In Progress")),"Not Started")</f>
        <v/>
      </c>
      <c r="J26" s="48" t="n">
        <v>0.65</v>
      </c>
      <c r="K26" s="45" t="inlineStr">
        <is>
          <t>Low</t>
        </is>
      </c>
      <c r="L26" s="49" t="n">
        <v>5000</v>
      </c>
      <c r="M26" s="45" t="n">
        <v>80</v>
      </c>
      <c r="N26" s="49">
        <f>IF(OR(L26="",H26=""),"",L26*H26)</f>
        <v/>
      </c>
      <c r="O26" s="45" t="inlineStr">
        <is>
          <t>—</t>
        </is>
      </c>
      <c r="P26" s="45">
        <f>IFERROR(IF(VALUE(SUBSTITUTE(SUBSTITUTE(J26,"%","")," ",""))&gt;=100,"Completed",IF(VALUE(SUBSTITUTE(SUBSTITUTE(J26,"%","")," ",""))&lt;=0,"Not Started","In Progress")),"Not Started")</f>
        <v/>
      </c>
      <c r="Q26" s="45" t="n"/>
      <c r="R26" s="45" t="n"/>
    </row>
    <row r="27" ht="15" customHeight="1" s="203">
      <c r="A27" s="50" t="n">
        <v>24</v>
      </c>
      <c r="B27" s="51" t="inlineStr">
        <is>
          <t>Fix Date Formats — Legacy System Dates</t>
        </is>
      </c>
      <c r="C27" s="50" t="inlineStr">
        <is>
          <t>Phase 4</t>
        </is>
      </c>
      <c r="D27" s="50" t="inlineStr">
        <is>
          <t>Siddharth Rao</t>
        </is>
      </c>
      <c r="E27" s="50" t="inlineStr">
        <is>
          <t>Quality Assur.</t>
        </is>
      </c>
      <c r="F27" s="52" t="n">
        <v>45437</v>
      </c>
      <c r="G27" s="52" t="n">
        <v>45465</v>
      </c>
      <c r="H27" s="50">
        <f>IF(OR(F27="",G27=""),"",G27-F27)</f>
        <v/>
      </c>
      <c r="I27" s="50">
        <f>IFERROR(IF(VALUE(SUBSTITUTE(SUBSTITUTE(J27,"%","")," ",""))&lt;=0,"Not Started",IF(VALUE(SUBSTITUTE(SUBSTITUTE(J27,"%","")," ",""))&gt;=100,"Completed","In Progress")),"Not Started")</f>
        <v/>
      </c>
      <c r="J27" s="53" t="n">
        <v>0.5</v>
      </c>
      <c r="K27" s="50" t="inlineStr">
        <is>
          <t>Medium</t>
        </is>
      </c>
      <c r="L27" s="54" t="n">
        <v>3000</v>
      </c>
      <c r="M27" s="50" t="n">
        <v>120</v>
      </c>
      <c r="N27" s="54">
        <f>IF(OR(L27="",H27=""),"",L27*H27)</f>
        <v/>
      </c>
      <c r="O27" s="50" t="inlineStr">
        <is>
          <t>—</t>
        </is>
      </c>
      <c r="P27" s="50">
        <f>IFERROR(IF(VALUE(SUBSTITUTE(SUBSTITUTE(J27,"%","")," ",""))&gt;=100,"Completed",IF(VALUE(SUBSTITUTE(SUBSTITUTE(J27,"%","")," ",""))&lt;=0,"Not Started","In Progress")),"Not Started")</f>
        <v/>
      </c>
      <c r="Q27" s="50" t="n"/>
      <c r="R27" s="50" t="n"/>
    </row>
    <row r="28" ht="15" customHeight="1" s="203">
      <c r="A28" s="50" t="n">
        <v>25</v>
      </c>
      <c r="B28" s="51" t="inlineStr">
        <is>
          <t>Handle Missing Values — Customer Database</t>
        </is>
      </c>
      <c r="C28" s="50" t="inlineStr">
        <is>
          <t>Phase 1</t>
        </is>
      </c>
      <c r="D28" s="50" t="inlineStr">
        <is>
          <t>Siddharth Rao</t>
        </is>
      </c>
      <c r="E28" s="50" t="inlineStr">
        <is>
          <t>PMO</t>
        </is>
      </c>
      <c r="F28" s="52" t="n">
        <v>45434</v>
      </c>
      <c r="G28" s="52" t="n">
        <v>45444</v>
      </c>
      <c r="H28" s="50">
        <f>IF(OR(F28="",G28=""),"",G28-F28)</f>
        <v/>
      </c>
      <c r="I28" s="50">
        <f>IFERROR(IF(VALUE(SUBSTITUTE(SUBSTITUTE(J28,"%","")," ",""))&lt;=0,"Not Started",IF(VALUE(SUBSTITUTE(SUBSTITUTE(J28,"%","")," ",""))&gt;=100,"Completed","In Progress")),"Not Started")</f>
        <v/>
      </c>
      <c r="J28" s="53" t="n">
        <v>0.25</v>
      </c>
      <c r="K28" s="50" t="inlineStr">
        <is>
          <t>Critical</t>
        </is>
      </c>
      <c r="L28" s="54" t="n">
        <v>5500</v>
      </c>
      <c r="M28" s="50" t="n">
        <v>140</v>
      </c>
      <c r="N28" s="54">
        <f>IF(OR(L28="",H28=""),"",L28*H28)</f>
        <v/>
      </c>
      <c r="O28" s="50" t="inlineStr">
        <is>
          <t>Verified OK</t>
        </is>
      </c>
      <c r="P28" s="50">
        <f>IFERROR(IF(VALUE(SUBSTITUTE(SUBSTITUTE(J28,"%","")," ",""))&gt;=100,"Completed",IF(VALUE(SUBSTITUTE(SUBSTITUTE(J28,"%","")," ",""))&lt;=0,"Not Started","In Progress")),"Not Started")</f>
        <v/>
      </c>
      <c r="Q28" s="50" t="n"/>
      <c r="R28" s="50" t="n"/>
    </row>
    <row r="29" ht="15" customHeight="1" s="203">
      <c r="A29" s="55" t="n">
        <v>26</v>
      </c>
      <c r="B29" s="56" t="inlineStr">
        <is>
          <t>Split Combined Columns — Contact Database</t>
        </is>
      </c>
      <c r="C29" s="55" t="inlineStr">
        <is>
          <t>Phase 2</t>
        </is>
      </c>
      <c r="D29" s="55" t="inlineStr">
        <is>
          <t>Ananya Singh</t>
        </is>
      </c>
      <c r="E29" s="55" t="inlineStr">
        <is>
          <t>BI &amp; Analytics</t>
        </is>
      </c>
      <c r="F29" s="57" t="n">
        <v>45401</v>
      </c>
      <c r="G29" s="57" t="n">
        <v>45411</v>
      </c>
      <c r="H29" s="55">
        <f>IF(OR(F29="",G29=""),"",G29-F29)</f>
        <v/>
      </c>
      <c r="I29" s="55">
        <f>IFERROR(IF(VALUE(SUBSTITUTE(SUBSTITUTE(J29,"%","")," ",""))&lt;=0,"Not Started",IF(VALUE(SUBSTITUTE(SUBSTITUTE(J29,"%","")," ",""))&gt;=100,"Completed","In Progress")),"Not Started")</f>
        <v/>
      </c>
      <c r="J29" s="58" t="n">
        <v>1</v>
      </c>
      <c r="K29" s="55" t="inlineStr">
        <is>
          <t>Medium</t>
        </is>
      </c>
      <c r="L29" s="59" t="n">
        <v>5000</v>
      </c>
      <c r="M29" s="55" t="n">
        <v>120</v>
      </c>
      <c r="N29" s="59">
        <f>IF(OR(L29="",H29=""),"",L29*H29)</f>
        <v/>
      </c>
      <c r="O29" s="55" t="inlineStr">
        <is>
          <t>Verified OK</t>
        </is>
      </c>
      <c r="P29" s="55">
        <f>IFERROR(IF(VALUE(SUBSTITUTE(SUBSTITUTE(J29,"%","")," ",""))&gt;=100,"Completed",IF(VALUE(SUBSTITUTE(SUBSTITUTE(J29,"%","")," ",""))&lt;=0,"Not Started","In Progress")),"Not Started")</f>
        <v/>
      </c>
      <c r="Q29" s="55" t="n"/>
      <c r="R29" s="55" t="n"/>
    </row>
    <row r="30" ht="15" customHeight="1" s="203">
      <c r="A30" s="55" t="n">
        <v>27</v>
      </c>
      <c r="B30" s="56" t="inlineStr">
        <is>
          <t>Remove Non-Numeric Chars — Revenue Data</t>
        </is>
      </c>
      <c r="C30" s="55" t="inlineStr">
        <is>
          <t>Phase 3</t>
        </is>
      </c>
      <c r="D30" s="55" t="inlineStr">
        <is>
          <t>Meera Pillai</t>
        </is>
      </c>
      <c r="E30" s="55" t="inlineStr">
        <is>
          <t>Business Intel.</t>
        </is>
      </c>
      <c r="F30" s="57" t="n">
        <v>45332</v>
      </c>
      <c r="G30" s="57" t="n">
        <v>45344</v>
      </c>
      <c r="H30" s="55">
        <f>IF(OR(F30="",G30=""),"",G30-F30)</f>
        <v/>
      </c>
      <c r="I30" s="55">
        <f>IFERROR(IF(VALUE(SUBSTITUTE(SUBSTITUTE(J30,"%","")," ",""))&lt;=0,"Not Started",IF(VALUE(SUBSTITUTE(SUBSTITUTE(J30,"%","")," ",""))&gt;=100,"Completed","In Progress")),"Not Started")</f>
        <v/>
      </c>
      <c r="J30" s="58" t="n">
        <v>1</v>
      </c>
      <c r="K30" s="55" t="inlineStr">
        <is>
          <t>High</t>
        </is>
      </c>
      <c r="L30" s="59" t="n">
        <v>3500</v>
      </c>
      <c r="M30" s="55" t="n">
        <v>0</v>
      </c>
      <c r="N30" s="59">
        <f>IF(OR(L30="",H30=""),"",L30*H30)</f>
        <v/>
      </c>
      <c r="O30" s="55" t="inlineStr">
        <is>
          <t>Needs validation</t>
        </is>
      </c>
      <c r="P30" s="55">
        <f>IFERROR(IF(VALUE(SUBSTITUTE(SUBSTITUTE(J30,"%","")," ",""))&gt;=100,"Completed",IF(VALUE(SUBSTITUTE(SUBSTITUTE(J30,"%","")," ",""))&lt;=0,"Not Started","In Progress")),"Not Started")</f>
        <v/>
      </c>
      <c r="Q30" s="55" t="n"/>
      <c r="R30" s="55" t="n"/>
    </row>
    <row r="31" ht="15" customHeight="1" s="203">
      <c r="A31" s="55" t="n">
        <v>28</v>
      </c>
      <c r="B31" s="56" t="inlineStr">
        <is>
          <t>Validate Data Ranges — HR Age Dataset</t>
        </is>
      </c>
      <c r="C31" s="55" t="inlineStr">
        <is>
          <t>Phase 4</t>
        </is>
      </c>
      <c r="D31" s="55" t="inlineStr">
        <is>
          <t>Ananya Singh</t>
        </is>
      </c>
      <c r="E31" s="55" t="inlineStr">
        <is>
          <t>Data Platform</t>
        </is>
      </c>
      <c r="F31" s="57" t="n">
        <v>45316</v>
      </c>
      <c r="G31" s="57" t="n">
        <v>45330</v>
      </c>
      <c r="H31" s="55">
        <f>IF(OR(F31="",G31=""),"",G31-F31)</f>
        <v/>
      </c>
      <c r="I31" s="55">
        <f>IFERROR(IF(VALUE(SUBSTITUTE(SUBSTITUTE(J31,"%","")," ",""))&lt;=0,"Not Started",IF(VALUE(SUBSTITUTE(SUBSTITUTE(J31,"%","")," ",""))&gt;=100,"Completed","In Progress")),"Not Started")</f>
        <v/>
      </c>
      <c r="J31" s="58" t="n">
        <v>0.4</v>
      </c>
      <c r="K31" s="55" t="inlineStr">
        <is>
          <t>Critical</t>
        </is>
      </c>
      <c r="L31" s="59" t="n">
        <v>3500</v>
      </c>
      <c r="M31" s="55" t="n">
        <v>100</v>
      </c>
      <c r="N31" s="59">
        <f>IF(OR(L31="",H31=""),"",L31*H31)</f>
        <v/>
      </c>
      <c r="O31" s="55" t="inlineStr">
        <is>
          <t>Needs validation</t>
        </is>
      </c>
      <c r="P31" s="55">
        <f>IFERROR(IF(VALUE(SUBSTITUTE(SUBSTITUTE(J31,"%","")," ",""))&gt;=100,"Completed",IF(VALUE(SUBSTITUTE(SUBSTITUTE(J31,"%","")," ",""))&lt;=0,"Not Started","In Progress")),"Not Started")</f>
        <v/>
      </c>
      <c r="Q31" s="55" t="n"/>
      <c r="R31" s="55" t="n"/>
    </row>
    <row r="32" ht="15" customHeight="1" s="203">
      <c r="A32" s="55" t="n">
        <v>29</v>
      </c>
      <c r="B32" s="56" t="inlineStr">
        <is>
          <t>Standardize Category Labels — Product SKU</t>
        </is>
      </c>
      <c r="C32" s="55" t="inlineStr">
        <is>
          <t>Phase 1</t>
        </is>
      </c>
      <c r="D32" s="55" t="inlineStr">
        <is>
          <t>Lakshmi Nair</t>
        </is>
      </c>
      <c r="E32" s="55" t="inlineStr">
        <is>
          <t>Quality Assur.</t>
        </is>
      </c>
      <c r="F32" s="57" t="n">
        <v>45402</v>
      </c>
      <c r="G32" s="57" t="n">
        <v>45423</v>
      </c>
      <c r="H32" s="55">
        <f>IF(OR(F32="",G32=""),"",G32-F32)</f>
        <v/>
      </c>
      <c r="I32" s="55">
        <f>IFERROR(IF(VALUE(SUBSTITUTE(SUBSTITUTE(J32,"%","")," ",""))&lt;=0,"Not Started",IF(VALUE(SUBSTITUTE(SUBSTITUTE(J32,"%","")," ",""))&gt;=100,"Completed","In Progress")),"Not Started")</f>
        <v/>
      </c>
      <c r="J32" s="58" t="n">
        <v>0.75</v>
      </c>
      <c r="K32" s="55" t="inlineStr">
        <is>
          <t>Low</t>
        </is>
      </c>
      <c r="L32" s="59" t="n">
        <v>4000</v>
      </c>
      <c r="M32" s="55" t="n">
        <v>80</v>
      </c>
      <c r="N32" s="59">
        <f>IF(OR(L32="",H32=""),"",L32*H32)</f>
        <v/>
      </c>
      <c r="O32" s="55" t="inlineStr">
        <is>
          <t>—</t>
        </is>
      </c>
      <c r="P32" s="55">
        <f>IFERROR(IF(VALUE(SUBSTITUTE(SUBSTITUTE(J32,"%","")," ",""))&gt;=100,"Completed",IF(VALUE(SUBSTITUTE(SUBSTITUTE(J32,"%","")," ",""))&lt;=0,"Not Started","In Progress")),"Not Started")</f>
        <v/>
      </c>
      <c r="Q32" s="55" t="n"/>
      <c r="R32" s="55" t="n"/>
    </row>
    <row r="33" ht="15" customHeight="1" s="203">
      <c r="A33" s="50" t="n">
        <v>30</v>
      </c>
      <c r="B33" s="51" t="inlineStr">
        <is>
          <t>Combine &amp; Reconcile Columns — Address</t>
        </is>
      </c>
      <c r="C33" s="50" t="inlineStr">
        <is>
          <t>Phase 2</t>
        </is>
      </c>
      <c r="D33" s="50" t="inlineStr">
        <is>
          <t>Rahul Mehta</t>
        </is>
      </c>
      <c r="E33" s="50" t="inlineStr">
        <is>
          <t>PMO</t>
        </is>
      </c>
      <c r="F33" s="52" t="n">
        <v>45383</v>
      </c>
      <c r="G33" s="52" t="n">
        <v>45397</v>
      </c>
      <c r="H33" s="50">
        <f>IF(OR(F33="",G33=""),"",G33-F33)</f>
        <v/>
      </c>
      <c r="I33" s="50">
        <f>IFERROR(IF(VALUE(SUBSTITUTE(SUBSTITUTE(J33,"%","")," ",""))&lt;=0,"Not Started",IF(VALUE(SUBSTITUTE(SUBSTITUTE(J33,"%","")," ",""))&gt;=100,"Completed","In Progress")),"Not Started")</f>
        <v/>
      </c>
      <c r="J33" s="53" t="n">
        <v>0.25</v>
      </c>
      <c r="K33" s="50" t="inlineStr">
        <is>
          <t>Low</t>
        </is>
      </c>
      <c r="L33" s="54" t="n">
        <v>4000</v>
      </c>
      <c r="M33" s="50" t="n">
        <v>168</v>
      </c>
      <c r="N33" s="54">
        <f>IF(OR(L33="",H33=""),"",L33*H33)</f>
        <v/>
      </c>
      <c r="O33" s="50" t="inlineStr">
        <is>
          <t>—</t>
        </is>
      </c>
      <c r="P33" s="50">
        <f>IFERROR(IF(VALUE(SUBSTITUTE(SUBSTITUTE(J33,"%","")," ",""))&gt;=100,"Completed",IF(VALUE(SUBSTITUTE(SUBSTITUTE(J33,"%","")," ",""))&lt;=0,"Not Started","In Progress")),"Not Started")</f>
        <v/>
      </c>
      <c r="Q33" s="50" t="n"/>
      <c r="R33" s="50" t="n"/>
    </row>
    <row r="34" ht="15" customHeight="1" s="203">
      <c r="A34" s="50" t="n">
        <v>31</v>
      </c>
      <c r="B34" s="51" t="inlineStr">
        <is>
          <t>Remove Duplicates — CRM Export Cleaning</t>
        </is>
      </c>
      <c r="C34" s="50" t="inlineStr">
        <is>
          <t>Phase 3</t>
        </is>
      </c>
      <c r="D34" s="50" t="inlineStr">
        <is>
          <t>Rahul Mehta</t>
        </is>
      </c>
      <c r="E34" s="50" t="inlineStr">
        <is>
          <t>BI &amp; Analytics</t>
        </is>
      </c>
      <c r="F34" s="52" t="n">
        <v>45298</v>
      </c>
      <c r="G34" s="52" t="n">
        <v>45319</v>
      </c>
      <c r="H34" s="50">
        <f>IF(OR(F34="",G34=""),"",G34-F34)</f>
        <v/>
      </c>
      <c r="I34" s="50">
        <f>IFERROR(IF(VALUE(SUBSTITUTE(SUBSTITUTE(J34,"%","")," ",""))&lt;=0,"Not Started",IF(VALUE(SUBSTITUTE(SUBSTITUTE(J34,"%","")," ",""))&gt;=100,"Completed","In Progress")),"Not Started")</f>
        <v/>
      </c>
      <c r="J34" s="53" t="n">
        <v>0.5</v>
      </c>
      <c r="K34" s="50" t="inlineStr">
        <is>
          <t>Medium</t>
        </is>
      </c>
      <c r="L34" s="54" t="n">
        <v>4200</v>
      </c>
      <c r="M34" s="50" t="n">
        <v>0</v>
      </c>
      <c r="N34" s="54">
        <f>IF(OR(L34="",H34=""),"",L34*H34)</f>
        <v/>
      </c>
      <c r="O34" s="50" t="inlineStr">
        <is>
          <t>—</t>
        </is>
      </c>
      <c r="P34" s="50">
        <f>IFERROR(IF(VALUE(SUBSTITUTE(SUBSTITUTE(J34,"%","")," ",""))&gt;=100,"Completed",IF(VALUE(SUBSTITUTE(SUBSTITUTE(J34,"%","")," ",""))&lt;=0,"Not Started","In Progress")),"Not Started")</f>
        <v/>
      </c>
      <c r="Q34" s="50" t="n"/>
      <c r="R34" s="50" t="n"/>
    </row>
    <row r="35" ht="15" customHeight="1" s="203">
      <c r="A35" s="50" t="n">
        <v>32</v>
      </c>
      <c r="B35" s="51" t="inlineStr">
        <is>
          <t>Trim Extra Spaces — Customer Name Import</t>
        </is>
      </c>
      <c r="C35" s="50" t="inlineStr">
        <is>
          <t>Phase 4</t>
        </is>
      </c>
      <c r="D35" s="50" t="inlineStr">
        <is>
          <t>Rahul Mehta</t>
        </is>
      </c>
      <c r="E35" s="50" t="inlineStr">
        <is>
          <t>Business Intel.</t>
        </is>
      </c>
      <c r="F35" s="52" t="n">
        <v>45391</v>
      </c>
      <c r="G35" s="52" t="n">
        <v>45403</v>
      </c>
      <c r="H35" s="50">
        <f>IF(OR(F35="",G35=""),"",G35-F35)</f>
        <v/>
      </c>
      <c r="I35" s="50">
        <f>IFERROR(IF(VALUE(SUBSTITUTE(SUBSTITUTE(J35,"%","")," ",""))&lt;=0,"Not Started",IF(VALUE(SUBSTITUTE(SUBSTITUTE(J35,"%","")," ",""))&gt;=100,"Completed","In Progress")),"Not Started")</f>
        <v/>
      </c>
      <c r="J35" s="53" t="n">
        <v>0.65</v>
      </c>
      <c r="K35" s="50" t="inlineStr">
        <is>
          <t>Medium</t>
        </is>
      </c>
      <c r="L35" s="54" t="n">
        <v>5500</v>
      </c>
      <c r="M35" s="50" t="n">
        <v>80</v>
      </c>
      <c r="N35" s="54">
        <f>IF(OR(L35="",H35=""),"",L35*H35)</f>
        <v/>
      </c>
      <c r="O35" s="50" t="inlineStr">
        <is>
          <t>Verified OK</t>
        </is>
      </c>
      <c r="P35" s="50">
        <f>IFERROR(IF(VALUE(SUBSTITUTE(SUBSTITUTE(J35,"%","")," ",""))&gt;=100,"Completed",IF(VALUE(SUBSTITUTE(SUBSTITUTE(J35,"%","")," ",""))&lt;=0,"Not Started","In Progress")),"Not Started")</f>
        <v/>
      </c>
      <c r="Q35" s="50" t="n"/>
      <c r="R35" s="50" t="n"/>
    </row>
    <row r="36" ht="15" customHeight="1" s="203">
      <c r="A36" s="45" t="n">
        <v>33</v>
      </c>
      <c r="B36" s="46" t="inlineStr">
        <is>
          <t>Standardize Text Case — Region Codes</t>
        </is>
      </c>
      <c r="C36" s="45" t="inlineStr">
        <is>
          <t>Phase 1</t>
        </is>
      </c>
      <c r="D36" s="45" t="inlineStr">
        <is>
          <t>Amit Roy</t>
        </is>
      </c>
      <c r="E36" s="45" t="inlineStr">
        <is>
          <t>Data Platform</t>
        </is>
      </c>
      <c r="F36" s="47" t="n">
        <v>45406</v>
      </c>
      <c r="G36" s="47" t="n">
        <v>45434</v>
      </c>
      <c r="H36" s="45">
        <f>IF(OR(F36="",G36=""),"",G36-F36)</f>
        <v/>
      </c>
      <c r="I36" s="45">
        <f>IFERROR(IF(VALUE(SUBSTITUTE(SUBSTITUTE(J36,"%","")," ",""))&lt;=0,"Not Started",IF(VALUE(SUBSTITUTE(SUBSTITUTE(J36,"%","")," ",""))&gt;=100,"Completed","In Progress")),"Not Started")</f>
        <v/>
      </c>
      <c r="J36" s="48" t="n">
        <v>0</v>
      </c>
      <c r="K36" s="45" t="inlineStr">
        <is>
          <t>High</t>
        </is>
      </c>
      <c r="L36" s="49" t="n">
        <v>4000</v>
      </c>
      <c r="M36" s="45" t="n">
        <v>140</v>
      </c>
      <c r="N36" s="49">
        <f>IF(OR(L36="",H36=""),"",L36*H36)</f>
        <v/>
      </c>
      <c r="O36" s="45" t="inlineStr">
        <is>
          <t>Verified OK</t>
        </is>
      </c>
      <c r="P36" s="45">
        <f>IFERROR(IF(VALUE(SUBSTITUTE(SUBSTITUTE(J36,"%","")," ",""))&gt;=100,"Completed",IF(VALUE(SUBSTITUTE(SUBSTITUTE(J36,"%","")," ",""))&lt;=0,"Not Started","In Progress")),"Not Started")</f>
        <v/>
      </c>
      <c r="Q36" s="45" t="n"/>
      <c r="R36" s="45" t="n"/>
    </row>
    <row r="37" ht="15" customHeight="1" s="203">
      <c r="A37" s="45" t="n">
        <v>34</v>
      </c>
      <c r="B37" s="46" t="inlineStr">
        <is>
          <t>Fix Date Formats — Legacy System Dates</t>
        </is>
      </c>
      <c r="C37" s="45" t="inlineStr">
        <is>
          <t>Phase 2</t>
        </is>
      </c>
      <c r="D37" s="45" t="inlineStr">
        <is>
          <t>Deepa Krishnan</t>
        </is>
      </c>
      <c r="E37" s="45" t="inlineStr">
        <is>
          <t>Quality Assur.</t>
        </is>
      </c>
      <c r="F37" s="47" t="n">
        <v>45357</v>
      </c>
      <c r="G37" s="47" t="n">
        <v>45367</v>
      </c>
      <c r="H37" s="45">
        <f>IF(OR(F37="",G37=""),"",G37-F37)</f>
        <v/>
      </c>
      <c r="I37" s="45">
        <f>IFERROR(IF(VALUE(SUBSTITUTE(SUBSTITUTE(J37,"%","")," ",""))&lt;=0,"Not Started",IF(VALUE(SUBSTITUTE(SUBSTITUTE(J37,"%","")," ",""))&gt;=100,"Completed","In Progress")),"Not Started")</f>
        <v/>
      </c>
      <c r="J37" s="48" t="n">
        <v>0.5</v>
      </c>
      <c r="K37" s="45" t="inlineStr">
        <is>
          <t>Medium</t>
        </is>
      </c>
      <c r="L37" s="49" t="n">
        <v>5000</v>
      </c>
      <c r="M37" s="45" t="n">
        <v>60</v>
      </c>
      <c r="N37" s="49">
        <f>IF(OR(L37="",H37=""),"",L37*H37)</f>
        <v/>
      </c>
      <c r="O37" s="45" t="inlineStr">
        <is>
          <t>Pending review</t>
        </is>
      </c>
      <c r="P37" s="45">
        <f>IFERROR(IF(VALUE(SUBSTITUTE(SUBSTITUTE(J37,"%","")," ",""))&gt;=100,"Completed",IF(VALUE(SUBSTITUTE(SUBSTITUTE(J37,"%","")," ",""))&lt;=0,"Not Started","In Progress")),"Not Started")</f>
        <v/>
      </c>
      <c r="Q37" s="45" t="n"/>
      <c r="R37" s="45" t="n"/>
    </row>
    <row r="38" ht="15" customHeight="1" s="203">
      <c r="A38" s="45" t="n">
        <v>35</v>
      </c>
      <c r="B38" s="46" t="inlineStr">
        <is>
          <t>Handle Missing Values — Customer Database</t>
        </is>
      </c>
      <c r="C38" s="45" t="inlineStr">
        <is>
          <t>Phase 3</t>
        </is>
      </c>
      <c r="D38" s="45" t="inlineStr">
        <is>
          <t>Arjun Pillai</t>
        </is>
      </c>
      <c r="E38" s="45" t="inlineStr">
        <is>
          <t>PMO</t>
        </is>
      </c>
      <c r="F38" s="47" t="n">
        <v>45402</v>
      </c>
      <c r="G38" s="47" t="n">
        <v>45412</v>
      </c>
      <c r="H38" s="45">
        <f>IF(OR(F38="",G38=""),"",G38-F38)</f>
        <v/>
      </c>
      <c r="I38" s="45">
        <f>IFERROR(IF(VALUE(SUBSTITUTE(SUBSTITUTE(J38,"%","")," ",""))&lt;=0,"Not Started",IF(VALUE(SUBSTITUTE(SUBSTITUTE(J38,"%","")," ",""))&gt;=100,"Completed","In Progress")),"Not Started")</f>
        <v/>
      </c>
      <c r="J38" s="48" t="n">
        <v>0.5</v>
      </c>
      <c r="K38" s="45" t="inlineStr">
        <is>
          <t>Critical</t>
        </is>
      </c>
      <c r="L38" s="49" t="n">
        <v>2000</v>
      </c>
      <c r="M38" s="45" t="n">
        <v>168</v>
      </c>
      <c r="N38" s="49">
        <f>IF(OR(L38="",H38=""),"",L38*H38)</f>
        <v/>
      </c>
      <c r="O38" s="45" t="inlineStr">
        <is>
          <t>Pending review</t>
        </is>
      </c>
      <c r="P38" s="45">
        <f>IFERROR(IF(VALUE(SUBSTITUTE(SUBSTITUTE(J38,"%","")," ",""))&gt;=100,"Completed",IF(VALUE(SUBSTITUTE(SUBSTITUTE(J38,"%","")," ",""))&lt;=0,"Not Started","In Progress")),"Not Started")</f>
        <v/>
      </c>
      <c r="Q38" s="45" t="n"/>
      <c r="R38" s="45" t="n"/>
    </row>
    <row r="39" ht="15" customHeight="1" s="203">
      <c r="A39" s="50" t="n">
        <v>36</v>
      </c>
      <c r="B39" s="51" t="inlineStr">
        <is>
          <t>Split Combined Columns — Contact Database</t>
        </is>
      </c>
      <c r="C39" s="50" t="inlineStr">
        <is>
          <t>Phase 4</t>
        </is>
      </c>
      <c r="D39" s="50" t="inlineStr">
        <is>
          <t>Deepa Krishnan</t>
        </is>
      </c>
      <c r="E39" s="50" t="inlineStr">
        <is>
          <t>BI &amp; Analytics</t>
        </is>
      </c>
      <c r="F39" s="52" t="n">
        <v>45383</v>
      </c>
      <c r="G39" s="52" t="n">
        <v>45397</v>
      </c>
      <c r="H39" s="50">
        <f>IF(OR(F39="",G39=""),"",G39-F39)</f>
        <v/>
      </c>
      <c r="I39" s="50">
        <f>IFERROR(IF(VALUE(SUBSTITUTE(SUBSTITUTE(J39,"%","")," ",""))&lt;=0,"Not Started",IF(VALUE(SUBSTITUTE(SUBSTITUTE(J39,"%","")," ",""))&gt;=100,"Completed","In Progress")),"Not Started")</f>
        <v/>
      </c>
      <c r="J39" s="53" t="n">
        <v>0.5</v>
      </c>
      <c r="K39" s="50" t="inlineStr">
        <is>
          <t>Medium</t>
        </is>
      </c>
      <c r="L39" s="54" t="n">
        <v>4200</v>
      </c>
      <c r="M39" s="50" t="n">
        <v>80</v>
      </c>
      <c r="N39" s="54">
        <f>IF(OR(L39="",H39=""),"",L39*H39)</f>
        <v/>
      </c>
      <c r="O39" s="50" t="inlineStr">
        <is>
          <t>Verified OK</t>
        </is>
      </c>
      <c r="P39" s="50">
        <f>IFERROR(IF(VALUE(SUBSTITUTE(SUBSTITUTE(J39,"%","")," ",""))&gt;=100,"Completed",IF(VALUE(SUBSTITUTE(SUBSTITUTE(J39,"%","")," ",""))&lt;=0,"Not Started","In Progress")),"Not Started")</f>
        <v/>
      </c>
      <c r="Q39" s="50" t="n"/>
      <c r="R39" s="50" t="n"/>
    </row>
    <row r="40" ht="15" customHeight="1" s="203">
      <c r="A40" s="45" t="n">
        <v>37</v>
      </c>
      <c r="B40" s="46" t="inlineStr">
        <is>
          <t>Remove Non-Numeric Chars — Revenue Data</t>
        </is>
      </c>
      <c r="C40" s="45" t="inlineStr">
        <is>
          <t>Phase 1</t>
        </is>
      </c>
      <c r="D40" s="45" t="inlineStr">
        <is>
          <t>Arjun Pillai</t>
        </is>
      </c>
      <c r="E40" s="45" t="inlineStr">
        <is>
          <t>Business Intel.</t>
        </is>
      </c>
      <c r="F40" s="47" t="n">
        <v>45441</v>
      </c>
      <c r="G40" s="47" t="n">
        <v>45469</v>
      </c>
      <c r="H40" s="45">
        <f>IF(OR(F40="",G40=""),"",G40-F40)</f>
        <v/>
      </c>
      <c r="I40" s="45">
        <f>IFERROR(IF(VALUE(SUBSTITUTE(SUBSTITUTE(J40,"%","")," ",""))&lt;=0,"Not Started",IF(VALUE(SUBSTITUTE(SUBSTITUTE(J40,"%","")," ",""))&gt;=100,"Completed","In Progress")),"Not Started")</f>
        <v/>
      </c>
      <c r="J40" s="48" t="n">
        <v>0.25</v>
      </c>
      <c r="K40" s="45" t="inlineStr">
        <is>
          <t>High</t>
        </is>
      </c>
      <c r="L40" s="49" t="n">
        <v>5500</v>
      </c>
      <c r="M40" s="45" t="n">
        <v>120</v>
      </c>
      <c r="N40" s="49">
        <f>IF(OR(L40="",H40=""),"",L40*H40)</f>
        <v/>
      </c>
      <c r="O40" s="45" t="inlineStr">
        <is>
          <t>Verified OK</t>
        </is>
      </c>
      <c r="P40" s="45">
        <f>IFERROR(IF(VALUE(SUBSTITUTE(SUBSTITUTE(J40,"%","")," ",""))&gt;=100,"Completed",IF(VALUE(SUBSTITUTE(SUBSTITUTE(J40,"%","")," ",""))&lt;=0,"Not Started","In Progress")),"Not Started")</f>
        <v/>
      </c>
      <c r="Q40" s="45" t="n"/>
      <c r="R40" s="45" t="n"/>
    </row>
    <row r="41" ht="15" customHeight="1" s="203">
      <c r="A41" s="45" t="n">
        <v>38</v>
      </c>
      <c r="B41" s="46" t="inlineStr">
        <is>
          <t>Validate Data Ranges — HR Age Dataset</t>
        </is>
      </c>
      <c r="C41" s="45" t="inlineStr">
        <is>
          <t>Phase 2</t>
        </is>
      </c>
      <c r="D41" s="45" t="inlineStr">
        <is>
          <t>Neha Joshi</t>
        </is>
      </c>
      <c r="E41" s="45" t="inlineStr">
        <is>
          <t>Data Platform</t>
        </is>
      </c>
      <c r="F41" s="47" t="n">
        <v>45431</v>
      </c>
      <c r="G41" s="47" t="n">
        <v>45452</v>
      </c>
      <c r="H41" s="45">
        <f>IF(OR(F41="",G41=""),"",G41-F41)</f>
        <v/>
      </c>
      <c r="I41" s="45">
        <f>IFERROR(IF(VALUE(SUBSTITUTE(SUBSTITUTE(J41,"%","")," ",""))&lt;=0,"Not Started",IF(VALUE(SUBSTITUTE(SUBSTITUTE(J41,"%","")," ",""))&gt;=100,"Completed","In Progress")),"Not Started")</f>
        <v/>
      </c>
      <c r="J41" s="48" t="n">
        <v>0.4</v>
      </c>
      <c r="K41" s="45" t="inlineStr">
        <is>
          <t>High</t>
        </is>
      </c>
      <c r="L41" s="49" t="n">
        <v>5000</v>
      </c>
      <c r="M41" s="45" t="n">
        <v>0</v>
      </c>
      <c r="N41" s="49">
        <f>IF(OR(L41="",H41=""),"",L41*H41)</f>
        <v/>
      </c>
      <c r="O41" s="45" t="inlineStr">
        <is>
          <t>—</t>
        </is>
      </c>
      <c r="P41" s="45">
        <f>IFERROR(IF(VALUE(SUBSTITUTE(SUBSTITUTE(J41,"%","")," ",""))&gt;=100,"Completed",IF(VALUE(SUBSTITUTE(SUBSTITUTE(J41,"%","")," ",""))&lt;=0,"Not Started","In Progress")),"Not Started")</f>
        <v/>
      </c>
      <c r="Q41" s="45" t="n"/>
      <c r="R41" s="45" t="n"/>
    </row>
    <row r="42" ht="15" customHeight="1" s="203">
      <c r="A42" s="50" t="n">
        <v>39</v>
      </c>
      <c r="B42" s="51" t="inlineStr">
        <is>
          <t>Standardize Category Labels — Product SKU</t>
        </is>
      </c>
      <c r="C42" s="50" t="inlineStr">
        <is>
          <t>Phase 3</t>
        </is>
      </c>
      <c r="D42" s="50" t="inlineStr">
        <is>
          <t>Karan Malhotra</t>
        </is>
      </c>
      <c r="E42" s="50" t="inlineStr">
        <is>
          <t>Quality Assur.</t>
        </is>
      </c>
      <c r="F42" s="52" t="n">
        <v>45431</v>
      </c>
      <c r="G42" s="52" t="n">
        <v>45445</v>
      </c>
      <c r="H42" s="50">
        <f>IF(OR(F42="",G42=""),"",G42-F42)</f>
        <v/>
      </c>
      <c r="I42" s="50">
        <f>IFERROR(IF(VALUE(SUBSTITUTE(SUBSTITUTE(J42,"%","")," ",""))&lt;=0,"Not Started",IF(VALUE(SUBSTITUTE(SUBSTITUTE(J42,"%","")," ",""))&gt;=100,"Completed","In Progress")),"Not Started")</f>
        <v/>
      </c>
      <c r="J42" s="53" t="n">
        <v>0.75</v>
      </c>
      <c r="K42" s="50" t="inlineStr">
        <is>
          <t>Low</t>
        </is>
      </c>
      <c r="L42" s="54" t="n">
        <v>4000</v>
      </c>
      <c r="M42" s="50" t="n">
        <v>0</v>
      </c>
      <c r="N42" s="54">
        <f>IF(OR(L42="",H42=""),"",L42*H42)</f>
        <v/>
      </c>
      <c r="O42" s="50" t="inlineStr">
        <is>
          <t>Verified OK</t>
        </is>
      </c>
      <c r="P42" s="50">
        <f>IFERROR(IF(VALUE(SUBSTITUTE(SUBSTITUTE(J42,"%","")," ",""))&gt;=100,"Completed",IF(VALUE(SUBSTITUTE(SUBSTITUTE(J42,"%","")," ",""))&lt;=0,"Not Started","In Progress")),"Not Started")</f>
        <v/>
      </c>
      <c r="Q42" s="50" t="n"/>
      <c r="R42" s="50" t="n"/>
    </row>
    <row r="43" ht="15" customHeight="1" s="203">
      <c r="A43" s="50" t="n">
        <v>40</v>
      </c>
      <c r="B43" s="51" t="inlineStr">
        <is>
          <t>Combine &amp; Reconcile Columns — Address</t>
        </is>
      </c>
      <c r="C43" s="50" t="inlineStr">
        <is>
          <t>Phase 4</t>
        </is>
      </c>
      <c r="D43" s="50" t="inlineStr">
        <is>
          <t>Pooja Iyer</t>
        </is>
      </c>
      <c r="E43" s="50" t="inlineStr">
        <is>
          <t>PMO</t>
        </is>
      </c>
      <c r="F43" s="52" t="n">
        <v>45419</v>
      </c>
      <c r="G43" s="52" t="n">
        <v>45429</v>
      </c>
      <c r="H43" s="50">
        <f>IF(OR(F43="",G43=""),"",G43-F43)</f>
        <v/>
      </c>
      <c r="I43" s="50">
        <f>IFERROR(IF(VALUE(SUBSTITUTE(SUBSTITUTE(J43,"%","")," ",""))&lt;=0,"Not Started",IF(VALUE(SUBSTITUTE(SUBSTITUTE(J43,"%","")," ",""))&gt;=100,"Completed","In Progress")),"Not Started")</f>
        <v/>
      </c>
      <c r="J43" s="53" t="n">
        <v>0.75</v>
      </c>
      <c r="K43" s="50" t="inlineStr">
        <is>
          <t>Medium</t>
        </is>
      </c>
      <c r="L43" s="54" t="n">
        <v>3500</v>
      </c>
      <c r="M43" s="50" t="n">
        <v>160</v>
      </c>
      <c r="N43" s="54">
        <f>IF(OR(L43="",H43=""),"",L43*H43)</f>
        <v/>
      </c>
      <c r="O43" s="50" t="inlineStr">
        <is>
          <t>Verified OK</t>
        </is>
      </c>
      <c r="P43" s="50">
        <f>IFERROR(IF(VALUE(SUBSTITUTE(SUBSTITUTE(J43,"%","")," ",""))&gt;=100,"Completed",IF(VALUE(SUBSTITUTE(SUBSTITUTE(J43,"%","")," ",""))&lt;=0,"Not Started","In Progress")),"Not Started")</f>
        <v/>
      </c>
      <c r="Q43" s="50" t="n"/>
      <c r="R43" s="50" t="n"/>
    </row>
    <row r="44" ht="15" customHeight="1" s="203">
      <c r="A44" s="45" t="n">
        <v>41</v>
      </c>
      <c r="B44" s="46" t="inlineStr">
        <is>
          <t>Remove Duplicates — CRM Export Cleaning</t>
        </is>
      </c>
      <c r="C44" s="45" t="inlineStr">
        <is>
          <t>Phase 1</t>
        </is>
      </c>
      <c r="D44" s="45" t="inlineStr">
        <is>
          <t>Meera Pillai</t>
        </is>
      </c>
      <c r="E44" s="45" t="inlineStr">
        <is>
          <t>BI &amp; Analytics</t>
        </is>
      </c>
      <c r="F44" s="47" t="n">
        <v>45350</v>
      </c>
      <c r="G44" s="47" t="n">
        <v>45357</v>
      </c>
      <c r="H44" s="45">
        <f>IF(OR(F44="",G44=""),"",G44-F44)</f>
        <v/>
      </c>
      <c r="I44" s="45">
        <f>IFERROR(IF(VALUE(SUBSTITUTE(SUBSTITUTE(J44,"%","")," ",""))&lt;=0,"Not Started",IF(VALUE(SUBSTITUTE(SUBSTITUTE(J44,"%","")," ",""))&gt;=100,"Completed","In Progress")),"Not Started")</f>
        <v/>
      </c>
      <c r="J44" s="48" t="n">
        <v>0.65</v>
      </c>
      <c r="K44" s="45" t="inlineStr">
        <is>
          <t>Critical</t>
        </is>
      </c>
      <c r="L44" s="49" t="n">
        <v>3000</v>
      </c>
      <c r="M44" s="45" t="n">
        <v>60</v>
      </c>
      <c r="N44" s="49">
        <f>IF(OR(L44="",H44=""),"",L44*H44)</f>
        <v/>
      </c>
      <c r="O44" s="45" t="inlineStr">
        <is>
          <t>Pending review</t>
        </is>
      </c>
      <c r="P44" s="45">
        <f>IFERROR(IF(VALUE(SUBSTITUTE(SUBSTITUTE(J44,"%","")," ",""))&gt;=100,"Completed",IF(VALUE(SUBSTITUTE(SUBSTITUTE(J44,"%","")," ",""))&lt;=0,"Not Started","In Progress")),"Not Started")</f>
        <v/>
      </c>
      <c r="Q44" s="45" t="n"/>
      <c r="R44" s="45" t="n"/>
    </row>
    <row r="45" ht="15" customHeight="1" s="203">
      <c r="A45" s="55" t="n">
        <v>42</v>
      </c>
      <c r="B45" s="56" t="inlineStr">
        <is>
          <t>Trim Extra Spaces — Customer Name Import</t>
        </is>
      </c>
      <c r="C45" s="55" t="inlineStr">
        <is>
          <t>Phase 2</t>
        </is>
      </c>
      <c r="D45" s="55" t="inlineStr">
        <is>
          <t>Rohit Gupta</t>
        </is>
      </c>
      <c r="E45" s="55" t="inlineStr">
        <is>
          <t>Business Intel.</t>
        </is>
      </c>
      <c r="F45" s="57" t="n">
        <v>45401</v>
      </c>
      <c r="G45" s="57" t="n">
        <v>45411</v>
      </c>
      <c r="H45" s="55">
        <f>IF(OR(F45="",G45=""),"",G45-F45)</f>
        <v/>
      </c>
      <c r="I45" s="55">
        <f>IFERROR(IF(VALUE(SUBSTITUTE(SUBSTITUTE(J45,"%","")," ",""))&lt;=0,"Not Started",IF(VALUE(SUBSTITUTE(SUBSTITUTE(J45,"%","")," ",""))&gt;=100,"Completed","In Progress")),"Not Started")</f>
        <v/>
      </c>
      <c r="J45" s="58" t="n">
        <v>0.75</v>
      </c>
      <c r="K45" s="55" t="inlineStr">
        <is>
          <t>Low</t>
        </is>
      </c>
      <c r="L45" s="59" t="n">
        <v>5500</v>
      </c>
      <c r="M45" s="55" t="n">
        <v>120</v>
      </c>
      <c r="N45" s="59">
        <f>IF(OR(L45="",H45=""),"",L45*H45)</f>
        <v/>
      </c>
      <c r="O45" s="55" t="inlineStr">
        <is>
          <t>Verified OK</t>
        </is>
      </c>
      <c r="P45" s="55">
        <f>IFERROR(IF(VALUE(SUBSTITUTE(SUBSTITUTE(J45,"%","")," ",""))&gt;=100,"Completed",IF(VALUE(SUBSTITUTE(SUBSTITUTE(J45,"%","")," ",""))&lt;=0,"Not Started","In Progress")),"Not Started")</f>
        <v/>
      </c>
      <c r="Q45" s="55" t="n"/>
      <c r="R45" s="55" t="n"/>
    </row>
    <row r="46" ht="15" customHeight="1" s="203">
      <c r="A46" s="55" t="n">
        <v>43</v>
      </c>
      <c r="B46" s="56" t="inlineStr">
        <is>
          <t>Standardize Text Case — Region Codes</t>
        </is>
      </c>
      <c r="C46" s="55" t="inlineStr">
        <is>
          <t>Phase 3</t>
        </is>
      </c>
      <c r="D46" s="55" t="inlineStr">
        <is>
          <t>Ananya Singh</t>
        </is>
      </c>
      <c r="E46" s="55" t="inlineStr">
        <is>
          <t>Data Platform</t>
        </is>
      </c>
      <c r="F46" s="57" t="n">
        <v>45377</v>
      </c>
      <c r="G46" s="57" t="n">
        <v>45391</v>
      </c>
      <c r="H46" s="55">
        <f>IF(OR(F46="",G46=""),"",G46-F46)</f>
        <v/>
      </c>
      <c r="I46" s="55">
        <f>IFERROR(IF(VALUE(SUBSTITUTE(SUBSTITUTE(J46,"%","")," ",""))&lt;=0,"Not Started",IF(VALUE(SUBSTITUTE(SUBSTITUTE(J46,"%","")," ",""))&gt;=100,"Completed","In Progress")),"Not Started")</f>
        <v/>
      </c>
      <c r="J46" s="58" t="n">
        <v>0.25</v>
      </c>
      <c r="K46" s="55" t="inlineStr">
        <is>
          <t>Low</t>
        </is>
      </c>
      <c r="L46" s="59" t="n">
        <v>4000</v>
      </c>
      <c r="M46" s="55" t="n">
        <v>0</v>
      </c>
      <c r="N46" s="59">
        <f>IF(OR(L46="",H46=""),"",L46*H46)</f>
        <v/>
      </c>
      <c r="O46" s="55" t="inlineStr">
        <is>
          <t>Check formula</t>
        </is>
      </c>
      <c r="P46" s="55">
        <f>IFERROR(IF(VALUE(SUBSTITUTE(SUBSTITUTE(J46,"%","")," ",""))&gt;=100,"Completed",IF(VALUE(SUBSTITUTE(SUBSTITUTE(J46,"%","")," ",""))&lt;=0,"Not Started","In Progress")),"Not Started")</f>
        <v/>
      </c>
      <c r="Q46" s="55" t="n"/>
      <c r="R46" s="55" t="n"/>
    </row>
    <row r="47" ht="15" customHeight="1" s="203">
      <c r="A47" s="45" t="n">
        <v>44</v>
      </c>
      <c r="B47" s="46" t="inlineStr">
        <is>
          <t>Fix Date Formats — Legacy System Dates</t>
        </is>
      </c>
      <c r="C47" s="45" t="inlineStr">
        <is>
          <t>Phase 4</t>
        </is>
      </c>
      <c r="D47" s="45" t="inlineStr">
        <is>
          <t>Rohit Gupta</t>
        </is>
      </c>
      <c r="E47" s="45" t="inlineStr">
        <is>
          <t>Quality Assur.</t>
        </is>
      </c>
      <c r="F47" s="47" t="n">
        <v>45301</v>
      </c>
      <c r="G47" s="47" t="n">
        <v>45308</v>
      </c>
      <c r="H47" s="45">
        <f>IF(OR(F47="",G47=""),"",G47-F47)</f>
        <v/>
      </c>
      <c r="I47" s="45">
        <f>IFERROR(IF(VALUE(SUBSTITUTE(SUBSTITUTE(J47,"%","")," ",""))&lt;=0,"Not Started",IF(VALUE(SUBSTITUTE(SUBSTITUTE(J47,"%","")," ",""))&gt;=100,"Completed","In Progress")),"Not Started")</f>
        <v/>
      </c>
      <c r="J47" s="48" t="n">
        <v>0.4</v>
      </c>
      <c r="K47" s="45" t="inlineStr">
        <is>
          <t>Critical</t>
        </is>
      </c>
      <c r="L47" s="49" t="n">
        <v>5500</v>
      </c>
      <c r="M47" s="45" t="n">
        <v>0</v>
      </c>
      <c r="N47" s="49">
        <f>IF(OR(L47="",H47=""),"",L47*H47)</f>
        <v/>
      </c>
      <c r="O47" s="45" t="inlineStr">
        <is>
          <t>—</t>
        </is>
      </c>
      <c r="P47" s="45">
        <f>IFERROR(IF(VALUE(SUBSTITUTE(SUBSTITUTE(J47,"%","")," ",""))&gt;=100,"Completed",IF(VALUE(SUBSTITUTE(SUBSTITUTE(J47,"%","")," ",""))&lt;=0,"Not Started","In Progress")),"Not Started")</f>
        <v/>
      </c>
      <c r="Q47" s="45" t="n"/>
      <c r="R47" s="45" t="n"/>
    </row>
    <row r="48" ht="15" customHeight="1" s="203">
      <c r="A48" s="55" t="n">
        <v>45</v>
      </c>
      <c r="B48" s="56" t="inlineStr">
        <is>
          <t>Handle Missing Values — Customer Database</t>
        </is>
      </c>
      <c r="C48" s="55" t="inlineStr">
        <is>
          <t>Phase 1</t>
        </is>
      </c>
      <c r="D48" s="55" t="inlineStr">
        <is>
          <t>Lakshmi Nair</t>
        </is>
      </c>
      <c r="E48" s="55" t="inlineStr">
        <is>
          <t>PMO</t>
        </is>
      </c>
      <c r="F48" s="57" t="n">
        <v>45363</v>
      </c>
      <c r="G48" s="57" t="n">
        <v>45377</v>
      </c>
      <c r="H48" s="55">
        <f>IF(OR(F48="",G48=""),"",G48-F48)</f>
        <v/>
      </c>
      <c r="I48" s="55">
        <f>IFERROR(IF(VALUE(SUBSTITUTE(SUBSTITUTE(J48,"%","")," ",""))&lt;=0,"Not Started",IF(VALUE(SUBSTITUTE(SUBSTITUTE(J48,"%","")," ",""))&gt;=100,"Completed","In Progress")),"Not Started")</f>
        <v/>
      </c>
      <c r="J48" s="58" t="n">
        <v>0.65</v>
      </c>
      <c r="K48" s="55" t="inlineStr">
        <is>
          <t>Critical</t>
        </is>
      </c>
      <c r="L48" s="59" t="n">
        <v>4000</v>
      </c>
      <c r="M48" s="55" t="n">
        <v>60</v>
      </c>
      <c r="N48" s="59">
        <f>IF(OR(L48="",H48=""),"",L48*H48)</f>
        <v/>
      </c>
      <c r="O48" s="55" t="inlineStr">
        <is>
          <t>Verified OK</t>
        </is>
      </c>
      <c r="P48" s="55">
        <f>IFERROR(IF(VALUE(SUBSTITUTE(SUBSTITUTE(J48,"%","")," ",""))&gt;=100,"Completed",IF(VALUE(SUBSTITUTE(SUBSTITUTE(J48,"%","")," ",""))&lt;=0,"Not Started","In Progress")),"Not Started")</f>
        <v/>
      </c>
      <c r="Q48" s="55" t="n"/>
      <c r="R48" s="55" t="n"/>
    </row>
    <row r="49" ht="15" customHeight="1" s="203">
      <c r="A49" s="55" t="n">
        <v>46</v>
      </c>
      <c r="B49" s="56" t="inlineStr">
        <is>
          <t>Split Combined Columns — Contact Database</t>
        </is>
      </c>
      <c r="C49" s="55" t="inlineStr">
        <is>
          <t>Phase 2</t>
        </is>
      </c>
      <c r="D49" s="55" t="inlineStr">
        <is>
          <t>Priya Sharma</t>
        </is>
      </c>
      <c r="E49" s="55" t="inlineStr">
        <is>
          <t>BI &amp; Analytics</t>
        </is>
      </c>
      <c r="F49" s="57" t="n">
        <v>45318</v>
      </c>
      <c r="G49" s="57" t="n">
        <v>45328</v>
      </c>
      <c r="H49" s="55">
        <f>IF(OR(F49="",G49=""),"",G49-F49)</f>
        <v/>
      </c>
      <c r="I49" s="55">
        <f>IFERROR(IF(VALUE(SUBSTITUTE(SUBSTITUTE(J49,"%","")," ",""))&lt;=0,"Not Started",IF(VALUE(SUBSTITUTE(SUBSTITUTE(J49,"%","")," ",""))&gt;=100,"Completed","In Progress")),"Not Started")</f>
        <v/>
      </c>
      <c r="J49" s="58" t="n">
        <v>1</v>
      </c>
      <c r="K49" s="55" t="inlineStr">
        <is>
          <t>Medium</t>
        </is>
      </c>
      <c r="L49" s="59" t="n">
        <v>3500</v>
      </c>
      <c r="M49" s="55" t="n">
        <v>80</v>
      </c>
      <c r="N49" s="59">
        <f>IF(OR(L49="",H49=""),"",L49*H49)</f>
        <v/>
      </c>
      <c r="O49" s="55" t="inlineStr">
        <is>
          <t>Verified OK</t>
        </is>
      </c>
      <c r="P49" s="55">
        <f>IFERROR(IF(VALUE(SUBSTITUTE(SUBSTITUTE(J49,"%","")," ",""))&gt;=100,"Completed",IF(VALUE(SUBSTITUTE(SUBSTITUTE(J49,"%","")," ",""))&lt;=0,"Not Started","In Progress")),"Not Started")</f>
        <v/>
      </c>
      <c r="Q49" s="55" t="n"/>
      <c r="R49" s="55" t="n"/>
    </row>
    <row r="50" ht="15" customHeight="1" s="203">
      <c r="A50" s="45" t="n">
        <v>47</v>
      </c>
      <c r="B50" s="46" t="inlineStr">
        <is>
          <t>Remove Non-Numeric Chars — Revenue Data</t>
        </is>
      </c>
      <c r="C50" s="45" t="inlineStr">
        <is>
          <t>Phase 3</t>
        </is>
      </c>
      <c r="D50" s="45" t="inlineStr">
        <is>
          <t>Sunita Verma</t>
        </is>
      </c>
      <c r="E50" s="45" t="inlineStr">
        <is>
          <t>Business Intel.</t>
        </is>
      </c>
      <c r="F50" s="47" t="n">
        <v>45357</v>
      </c>
      <c r="G50" s="47" t="n">
        <v>45364</v>
      </c>
      <c r="H50" s="45">
        <f>IF(OR(F50="",G50=""),"",G50-F50)</f>
        <v/>
      </c>
      <c r="I50" s="45">
        <f>IFERROR(IF(VALUE(SUBSTITUTE(SUBSTITUTE(J50,"%","")," ",""))&lt;=0,"Not Started",IF(VALUE(SUBSTITUTE(SUBSTITUTE(J50,"%","")," ",""))&gt;=100,"Completed","In Progress")),"Not Started")</f>
        <v/>
      </c>
      <c r="J50" s="48" t="n">
        <v>0.4</v>
      </c>
      <c r="K50" s="45" t="inlineStr">
        <is>
          <t>Medium</t>
        </is>
      </c>
      <c r="L50" s="49" t="n">
        <v>4000</v>
      </c>
      <c r="M50" s="45" t="n">
        <v>120</v>
      </c>
      <c r="N50" s="49">
        <f>IF(OR(L50="",H50=""),"",L50*H50)</f>
        <v/>
      </c>
      <c r="O50" s="45" t="inlineStr">
        <is>
          <t>Needs validation</t>
        </is>
      </c>
      <c r="P50" s="45">
        <f>IFERROR(IF(VALUE(SUBSTITUTE(SUBSTITUTE(J50,"%","")," ",""))&gt;=100,"Completed",IF(VALUE(SUBSTITUTE(SUBSTITUTE(J50,"%","")," ",""))&lt;=0,"Not Started","In Progress")),"Not Started")</f>
        <v/>
      </c>
      <c r="Q50" s="45" t="n"/>
      <c r="R50" s="45" t="n"/>
    </row>
    <row r="51" ht="15" customHeight="1" s="203">
      <c r="A51" s="55" t="n">
        <v>48</v>
      </c>
      <c r="B51" s="56" t="inlineStr">
        <is>
          <t>Combine &amp; Reconcile Columns — Address</t>
        </is>
      </c>
      <c r="C51" s="55" t="inlineStr">
        <is>
          <t>Phase 4</t>
        </is>
      </c>
      <c r="D51" s="55" t="inlineStr">
        <is>
          <t>Vikram Nair</t>
        </is>
      </c>
      <c r="E51" s="55" t="inlineStr">
        <is>
          <t>PMO</t>
        </is>
      </c>
      <c r="F51" s="57" t="n">
        <v>45379</v>
      </c>
      <c r="G51" s="57" t="n">
        <v>45386</v>
      </c>
      <c r="H51" s="55">
        <f>IF(OR(F51="",G51=""),"",G51-F51)</f>
        <v/>
      </c>
      <c r="I51" s="55">
        <f>IFERROR(IF(VALUE(SUBSTITUTE(SUBSTITUTE(J51,"%","")," ",""))&lt;=0,"Not Started",IF(VALUE(SUBSTITUTE(SUBSTITUTE(J51,"%","")," ",""))&gt;=100,"Completed","In Progress")),"Not Started")</f>
        <v/>
      </c>
      <c r="J51" s="58" t="n">
        <v>0</v>
      </c>
      <c r="K51" s="55" t="inlineStr">
        <is>
          <t>Low</t>
        </is>
      </c>
      <c r="L51" s="59" t="n">
        <v>5000</v>
      </c>
      <c r="M51" s="55" t="n">
        <v>140</v>
      </c>
      <c r="N51" s="59">
        <f>IF(OR(L51="",H51=""),"",L51*H51)</f>
        <v/>
      </c>
      <c r="O51" s="55" t="inlineStr">
        <is>
          <t>Verified OK</t>
        </is>
      </c>
      <c r="P51" s="55">
        <f>IFERROR(IF(VALUE(SUBSTITUTE(SUBSTITUTE(J51,"%","")," ",""))&gt;=100,"Completed",IF(VALUE(SUBSTITUTE(SUBSTITUTE(J51,"%","")," ",""))&lt;=0,"Not Started","In Progress")),"Not Started")</f>
        <v/>
      </c>
      <c r="Q51" s="55" t="n"/>
      <c r="R51" s="55" t="n"/>
    </row>
    <row r="52" ht="15" customHeight="1" s="203">
      <c r="A52" s="55" t="n">
        <v>49</v>
      </c>
      <c r="B52" s="56" t="inlineStr">
        <is>
          <t>Standardize Category Labels — Product SKU</t>
        </is>
      </c>
      <c r="C52" s="55" t="inlineStr">
        <is>
          <t>Phase 1</t>
        </is>
      </c>
      <c r="D52" s="55" t="inlineStr">
        <is>
          <t>Deepa Krishnan</t>
        </is>
      </c>
      <c r="E52" s="55" t="inlineStr">
        <is>
          <t>Quality Assur.</t>
        </is>
      </c>
      <c r="F52" s="57" t="n">
        <v>45299</v>
      </c>
      <c r="G52" s="57" t="n">
        <v>45327</v>
      </c>
      <c r="H52" s="55">
        <f>IF(OR(F52="",G52=""),"",G52-F52)</f>
        <v/>
      </c>
      <c r="I52" s="55">
        <f>IFERROR(IF(VALUE(SUBSTITUTE(SUBSTITUTE(J52,"%","")," ",""))&lt;=0,"Not Started",IF(VALUE(SUBSTITUTE(SUBSTITUTE(J52,"%","")," ",""))&gt;=100,"Completed","In Progress")),"Not Started")</f>
        <v/>
      </c>
      <c r="J52" s="58" t="n">
        <v>0.75</v>
      </c>
      <c r="K52" s="55" t="inlineStr">
        <is>
          <t>Low</t>
        </is>
      </c>
      <c r="L52" s="59" t="n">
        <v>4000</v>
      </c>
      <c r="M52" s="55" t="n">
        <v>120</v>
      </c>
      <c r="N52" s="59">
        <f>IF(OR(L52="",H52=""),"",L52*H52)</f>
        <v/>
      </c>
      <c r="O52" s="55" t="inlineStr">
        <is>
          <t>—</t>
        </is>
      </c>
      <c r="P52" s="55">
        <f>IFERROR(IF(VALUE(SUBSTITUTE(SUBSTITUTE(J52,"%","")," ",""))&gt;=100,"Completed",IF(VALUE(SUBSTITUTE(SUBSTITUTE(J52,"%","")," ",""))&lt;=0,"Not Started","In Progress")),"Not Started")</f>
        <v/>
      </c>
      <c r="Q52" s="55" t="n"/>
      <c r="R52" s="55" t="n"/>
    </row>
    <row r="53" ht="15" customHeight="1" s="203">
      <c r="A53" s="50" t="n">
        <v>50</v>
      </c>
      <c r="B53" s="51" t="inlineStr">
        <is>
          <t>Combine &amp; Reconcile Columns — Address</t>
        </is>
      </c>
      <c r="C53" s="50" t="inlineStr">
        <is>
          <t>Phase 2</t>
        </is>
      </c>
      <c r="D53" s="50" t="inlineStr">
        <is>
          <t>Vikram Nair</t>
        </is>
      </c>
      <c r="E53" s="50" t="inlineStr">
        <is>
          <t>PMO</t>
        </is>
      </c>
      <c r="F53" s="52" t="n">
        <v>45371</v>
      </c>
      <c r="G53" s="52" t="n">
        <v>45378</v>
      </c>
      <c r="H53" s="50">
        <f>IF(OR(F53="",G53=""),"",G53-F53)</f>
        <v/>
      </c>
      <c r="I53" s="50">
        <f>IFERROR(IF(VALUE(SUBSTITUTE(SUBSTITUTE(J53,"%","")," ",""))&lt;=0,"Not Started",IF(VALUE(SUBSTITUTE(SUBSTITUTE(J53,"%","")," ",""))&gt;=100,"Completed","In Progress")),"Not Started")</f>
        <v/>
      </c>
      <c r="J53" s="53" t="n">
        <v>0.25</v>
      </c>
      <c r="K53" s="50" t="inlineStr">
        <is>
          <t>Medium</t>
        </is>
      </c>
      <c r="L53" s="54" t="n">
        <v>5000</v>
      </c>
      <c r="M53" s="50" t="n">
        <v>0</v>
      </c>
      <c r="N53" s="54">
        <f>IF(OR(L53="",H53=""),"",L53*H53)</f>
        <v/>
      </c>
      <c r="O53" s="50" t="inlineStr">
        <is>
          <t>Needs validation</t>
        </is>
      </c>
      <c r="P53" s="50">
        <f>IFERROR(IF(VALUE(SUBSTITUTE(SUBSTITUTE(J53,"%","")," ",""))&gt;=100,"Completed",IF(VALUE(SUBSTITUTE(SUBSTITUTE(J53,"%","")," ",""))&lt;=0,"Not Started","In Progress")),"Not Started")</f>
        <v/>
      </c>
      <c r="Q53" s="50" t="n"/>
      <c r="R53" s="50" t="n"/>
    </row>
    <row r="54" ht="15" customHeight="1" s="203">
      <c r="A54" s="55" t="n">
        <v>51</v>
      </c>
      <c r="B54" s="56" t="inlineStr">
        <is>
          <t>Remove Duplicates — CRM Export Cleaning</t>
        </is>
      </c>
      <c r="C54" s="55" t="inlineStr">
        <is>
          <t>Phase 3</t>
        </is>
      </c>
      <c r="D54" s="55" t="inlineStr">
        <is>
          <t>Arjun Pillai</t>
        </is>
      </c>
      <c r="E54" s="55" t="inlineStr">
        <is>
          <t>BI &amp; Analytics</t>
        </is>
      </c>
      <c r="F54" s="57" t="n">
        <v>45318</v>
      </c>
      <c r="G54" s="57" t="n">
        <v>45328</v>
      </c>
      <c r="H54" s="55">
        <f>IF(OR(F54="",G54=""),"",G54-F54)</f>
        <v/>
      </c>
      <c r="I54" s="55">
        <f>IFERROR(IF(VALUE(SUBSTITUTE(SUBSTITUTE(J54,"%","")," ",""))&lt;=0,"Not Started",IF(VALUE(SUBSTITUTE(SUBSTITUTE(J54,"%","")," ",""))&gt;=100,"Completed","In Progress")),"Not Started")</f>
        <v/>
      </c>
      <c r="J54" s="58" t="n">
        <v>0</v>
      </c>
      <c r="K54" s="55" t="inlineStr">
        <is>
          <t>Critical</t>
        </is>
      </c>
      <c r="L54" s="59" t="n">
        <v>4200</v>
      </c>
      <c r="M54" s="55" t="n">
        <v>60</v>
      </c>
      <c r="N54" s="59">
        <f>IF(OR(L54="",H54=""),"",L54*H54)</f>
        <v/>
      </c>
      <c r="O54" s="55" t="inlineStr">
        <is>
          <t>Needs validation</t>
        </is>
      </c>
      <c r="P54" s="55">
        <f>IFERROR(IF(VALUE(SUBSTITUTE(SUBSTITUTE(J54,"%","")," ",""))&gt;=100,"Completed",IF(VALUE(SUBSTITUTE(SUBSTITUTE(J54,"%","")," ",""))&lt;=0,"Not Started","In Progress")),"Not Started")</f>
        <v/>
      </c>
      <c r="Q54" s="55" t="n"/>
      <c r="R54" s="55" t="n"/>
    </row>
    <row r="55" ht="15" customHeight="1" s="203">
      <c r="A55" s="55" t="n">
        <v>52</v>
      </c>
      <c r="B55" s="56" t="inlineStr">
        <is>
          <t>Trim Extra Spaces — Customer Name Import</t>
        </is>
      </c>
      <c r="C55" s="55" t="inlineStr">
        <is>
          <t>Phase 4</t>
        </is>
      </c>
      <c r="D55" s="55" t="inlineStr">
        <is>
          <t>Arjun Pillai</t>
        </is>
      </c>
      <c r="E55" s="55" t="inlineStr">
        <is>
          <t>Business Intel.</t>
        </is>
      </c>
      <c r="F55" s="57" t="n">
        <v>45407</v>
      </c>
      <c r="G55" s="57" t="n">
        <v>45419</v>
      </c>
      <c r="H55" s="55">
        <f>IF(OR(F55="",G55=""),"",G55-F55)</f>
        <v/>
      </c>
      <c r="I55" s="55">
        <f>IFERROR(IF(VALUE(SUBSTITUTE(SUBSTITUTE(J55,"%","")," ",""))&lt;=0,"Not Started",IF(VALUE(SUBSTITUTE(SUBSTITUTE(J55,"%","")," ",""))&gt;=100,"Completed","In Progress")),"Not Started")</f>
        <v/>
      </c>
      <c r="J55" s="58" t="n">
        <v>0.25</v>
      </c>
      <c r="K55" s="55" t="inlineStr">
        <is>
          <t>High</t>
        </is>
      </c>
      <c r="L55" s="59" t="n">
        <v>5000</v>
      </c>
      <c r="M55" s="55" t="n">
        <v>100</v>
      </c>
      <c r="N55" s="59">
        <f>IF(OR(L55="",H55=""),"",L55*H55)</f>
        <v/>
      </c>
      <c r="O55" s="55" t="inlineStr">
        <is>
          <t>—</t>
        </is>
      </c>
      <c r="P55" s="55">
        <f>IFERROR(IF(VALUE(SUBSTITUTE(SUBSTITUTE(J55,"%","")," ",""))&gt;=100,"Completed",IF(VALUE(SUBSTITUTE(SUBSTITUTE(J55,"%","")," ",""))&lt;=0,"Not Started","In Progress")),"Not Started")</f>
        <v/>
      </c>
      <c r="Q55" s="55" t="n"/>
      <c r="R55" s="55" t="n"/>
    </row>
    <row r="56" ht="15" customHeight="1" s="203">
      <c r="A56" s="55" t="n">
        <v>53</v>
      </c>
      <c r="B56" s="56" t="inlineStr">
        <is>
          <t>Standardize Text Case — Region Codes</t>
        </is>
      </c>
      <c r="C56" s="55" t="inlineStr">
        <is>
          <t>Phase 1</t>
        </is>
      </c>
      <c r="D56" s="55" t="inlineStr">
        <is>
          <t>Neha Joshi</t>
        </is>
      </c>
      <c r="E56" s="55" t="inlineStr">
        <is>
          <t>Data Platform</t>
        </is>
      </c>
      <c r="F56" s="57" t="n">
        <v>45378</v>
      </c>
      <c r="G56" s="57" t="n">
        <v>45399</v>
      </c>
      <c r="H56" s="55">
        <f>IF(OR(F56="",G56=""),"",G56-F56)</f>
        <v/>
      </c>
      <c r="I56" s="55">
        <f>IFERROR(IF(VALUE(SUBSTITUTE(SUBSTITUTE(J56,"%","")," ",""))&lt;=0,"Not Started",IF(VALUE(SUBSTITUTE(SUBSTITUTE(J56,"%","")," ",""))&gt;=100,"Completed","In Progress")),"Not Started")</f>
        <v/>
      </c>
      <c r="J56" s="58" t="n">
        <v>1</v>
      </c>
      <c r="K56" s="55" t="inlineStr">
        <is>
          <t>High</t>
        </is>
      </c>
      <c r="L56" s="59" t="n">
        <v>5000</v>
      </c>
      <c r="M56" s="55" t="n">
        <v>168</v>
      </c>
      <c r="N56" s="59">
        <f>IF(OR(L56="",H56=""),"",L56*H56)</f>
        <v/>
      </c>
      <c r="O56" s="55" t="inlineStr">
        <is>
          <t>—</t>
        </is>
      </c>
      <c r="P56" s="55">
        <f>IFERROR(IF(VALUE(SUBSTITUTE(SUBSTITUTE(J56,"%","")," ",""))&gt;=100,"Completed",IF(VALUE(SUBSTITUTE(SUBSTITUTE(J56,"%","")," ",""))&lt;=0,"Not Started","In Progress")),"Not Started")</f>
        <v/>
      </c>
      <c r="Q56" s="55" t="n"/>
      <c r="R56" s="55" t="n"/>
    </row>
    <row r="57" ht="15" customHeight="1" s="203">
      <c r="A57" s="45" t="n">
        <v>54</v>
      </c>
      <c r="B57" s="46" t="inlineStr">
        <is>
          <t>Fix Date Formats — Legacy System Dates</t>
        </is>
      </c>
      <c r="C57" s="45" t="inlineStr">
        <is>
          <t>Phase 2</t>
        </is>
      </c>
      <c r="D57" s="45" t="inlineStr">
        <is>
          <t>Pooja Iyer</t>
        </is>
      </c>
      <c r="E57" s="45" t="inlineStr">
        <is>
          <t>Quality Assur.</t>
        </is>
      </c>
      <c r="F57" s="47" t="n">
        <v>45298</v>
      </c>
      <c r="G57" s="47" t="n">
        <v>45308</v>
      </c>
      <c r="H57" s="45">
        <f>IF(OR(F57="",G57=""),"",G57-F57)</f>
        <v/>
      </c>
      <c r="I57" s="45">
        <f>IFERROR(IF(VALUE(SUBSTITUTE(SUBSTITUTE(J57,"%","")," ",""))&lt;=0,"Not Started",IF(VALUE(SUBSTITUTE(SUBSTITUTE(J57,"%","")," ",""))&gt;=100,"Completed","In Progress")),"Not Started")</f>
        <v/>
      </c>
      <c r="J57" s="48" t="n">
        <v>0.65</v>
      </c>
      <c r="K57" s="45" t="inlineStr">
        <is>
          <t>Critical</t>
        </is>
      </c>
      <c r="L57" s="49" t="n">
        <v>3000</v>
      </c>
      <c r="M57" s="45" t="n">
        <v>168</v>
      </c>
      <c r="N57" s="49">
        <f>IF(OR(L57="",H57=""),"",L57*H57)</f>
        <v/>
      </c>
      <c r="O57" s="45" t="inlineStr">
        <is>
          <t>Pending review</t>
        </is>
      </c>
      <c r="P57" s="45">
        <f>IFERROR(IF(VALUE(SUBSTITUTE(SUBSTITUTE(J57,"%","")," ",""))&gt;=100,"Completed",IF(VALUE(SUBSTITUTE(SUBSTITUTE(J57,"%","")," ",""))&lt;=0,"Not Started","In Progress")),"Not Started")</f>
        <v/>
      </c>
      <c r="Q57" s="45" t="n"/>
      <c r="R57" s="45" t="n"/>
    </row>
    <row r="58" ht="15" customHeight="1" s="203">
      <c r="A58" s="55" t="n">
        <v>55</v>
      </c>
      <c r="B58" s="56" t="inlineStr">
        <is>
          <t>Handle Missing Values — Customer Database</t>
        </is>
      </c>
      <c r="C58" s="55" t="inlineStr">
        <is>
          <t>Phase 3</t>
        </is>
      </c>
      <c r="D58" s="55" t="inlineStr">
        <is>
          <t>Meera Pillai</t>
        </is>
      </c>
      <c r="E58" s="55" t="inlineStr">
        <is>
          <t>PMO</t>
        </is>
      </c>
      <c r="F58" s="57" t="n">
        <v>45331</v>
      </c>
      <c r="G58" s="57" t="n">
        <v>45352</v>
      </c>
      <c r="H58" s="55">
        <f>IF(OR(F58="",G58=""),"",G58-F58)</f>
        <v/>
      </c>
      <c r="I58" s="55">
        <f>IFERROR(IF(VALUE(SUBSTITUTE(SUBSTITUTE(J58,"%","")," ",""))&lt;=0,"Not Started",IF(VALUE(SUBSTITUTE(SUBSTITUTE(J58,"%","")," ",""))&gt;=100,"Completed","In Progress")),"Not Started")</f>
        <v/>
      </c>
      <c r="J58" s="58" t="n">
        <v>0.65</v>
      </c>
      <c r="K58" s="55" t="inlineStr">
        <is>
          <t>Medium</t>
        </is>
      </c>
      <c r="L58" s="59" t="n">
        <v>4200</v>
      </c>
      <c r="M58" s="55" t="n">
        <v>100</v>
      </c>
      <c r="N58" s="59">
        <f>IF(OR(L58="",H58=""),"",L58*H58)</f>
        <v/>
      </c>
      <c r="O58" s="55" t="inlineStr">
        <is>
          <t>Needs validation</t>
        </is>
      </c>
      <c r="P58" s="55">
        <f>IFERROR(IF(VALUE(SUBSTITUTE(SUBSTITUTE(J58,"%","")," ",""))&gt;=100,"Completed",IF(VALUE(SUBSTITUTE(SUBSTITUTE(J58,"%","")," ",""))&lt;=0,"Not Started","In Progress")),"Not Started")</f>
        <v/>
      </c>
      <c r="Q58" s="55" t="n"/>
      <c r="R58" s="55" t="n"/>
    </row>
    <row r="59" ht="15" customHeight="1" s="203">
      <c r="A59" s="55" t="n">
        <v>56</v>
      </c>
      <c r="B59" s="56" t="inlineStr">
        <is>
          <t>Split Combined Columns — Contact Database</t>
        </is>
      </c>
      <c r="C59" s="55" t="inlineStr">
        <is>
          <t>Phase 4</t>
        </is>
      </c>
      <c r="D59" s="55" t="inlineStr">
        <is>
          <t>Ananya Singh</t>
        </is>
      </c>
      <c r="E59" s="55" t="inlineStr">
        <is>
          <t>BI &amp; Analytics</t>
        </is>
      </c>
      <c r="F59" s="57" t="n">
        <v>45327</v>
      </c>
      <c r="G59" s="57" t="n">
        <v>45334</v>
      </c>
      <c r="H59" s="55">
        <f>IF(OR(F59="",G59=""),"",G59-F59)</f>
        <v/>
      </c>
      <c r="I59" s="55">
        <f>IFERROR(IF(VALUE(SUBSTITUTE(SUBSTITUTE(J59,"%","")," ",""))&lt;=0,"Not Started",IF(VALUE(SUBSTITUTE(SUBSTITUTE(J59,"%","")," ",""))&gt;=100,"Completed","In Progress")),"Not Started")</f>
        <v/>
      </c>
      <c r="J59" s="58" t="n">
        <v>0</v>
      </c>
      <c r="K59" s="55" t="inlineStr">
        <is>
          <t>Critical</t>
        </is>
      </c>
      <c r="L59" s="59" t="n">
        <v>2000</v>
      </c>
      <c r="M59" s="55" t="n">
        <v>168</v>
      </c>
      <c r="N59" s="59">
        <f>IF(OR(L59="",H59=""),"",L59*H59)</f>
        <v/>
      </c>
      <c r="O59" s="55" t="inlineStr">
        <is>
          <t>Needs validation</t>
        </is>
      </c>
      <c r="P59" s="55">
        <f>IFERROR(IF(VALUE(SUBSTITUTE(SUBSTITUTE(J59,"%","")," ",""))&gt;=100,"Completed",IF(VALUE(SUBSTITUTE(SUBSTITUTE(J59,"%","")," ",""))&lt;=0,"Not Started","In Progress")),"Not Started")</f>
        <v/>
      </c>
      <c r="Q59" s="55" t="n"/>
      <c r="R59" s="55" t="n"/>
    </row>
    <row r="60" ht="15" customHeight="1" s="203">
      <c r="A60" s="45" t="n">
        <v>57</v>
      </c>
      <c r="B60" s="46" t="inlineStr">
        <is>
          <t>Remove Non-Numeric Chars — Revenue Data</t>
        </is>
      </c>
      <c r="C60" s="45" t="inlineStr">
        <is>
          <t>Phase 1</t>
        </is>
      </c>
      <c r="D60" s="45" t="inlineStr">
        <is>
          <t>Ananya Singh</t>
        </is>
      </c>
      <c r="E60" s="45" t="inlineStr">
        <is>
          <t>Business Intel.</t>
        </is>
      </c>
      <c r="F60" s="47" t="n">
        <v>45329</v>
      </c>
      <c r="G60" s="47" t="n">
        <v>45350</v>
      </c>
      <c r="H60" s="45">
        <f>IF(OR(F60="",G60=""),"",G60-F60)</f>
        <v/>
      </c>
      <c r="I60" s="45">
        <f>IFERROR(IF(VALUE(SUBSTITUTE(SUBSTITUTE(J60,"%","")," ",""))&lt;=0,"Not Started",IF(VALUE(SUBSTITUTE(SUBSTITUTE(J60,"%","")," ",""))&gt;=100,"Completed","In Progress")),"Not Started")</f>
        <v/>
      </c>
      <c r="J60" s="48" t="n">
        <v>1</v>
      </c>
      <c r="K60" s="45" t="inlineStr">
        <is>
          <t>Low</t>
        </is>
      </c>
      <c r="L60" s="49" t="n">
        <v>2000</v>
      </c>
      <c r="M60" s="45" t="n">
        <v>168</v>
      </c>
      <c r="N60" s="49">
        <f>IF(OR(L60="",H60=""),"",L60*H60)</f>
        <v/>
      </c>
      <c r="O60" s="45" t="inlineStr">
        <is>
          <t>—</t>
        </is>
      </c>
      <c r="P60" s="45">
        <f>IFERROR(IF(VALUE(SUBSTITUTE(SUBSTITUTE(J60,"%","")," ",""))&gt;=100,"Completed",IF(VALUE(SUBSTITUTE(SUBSTITUTE(J60,"%","")," ",""))&lt;=0,"Not Started","In Progress")),"Not Started")</f>
        <v/>
      </c>
      <c r="Q60" s="45" t="n"/>
      <c r="R60" s="45" t="n"/>
    </row>
    <row r="61" ht="15" customHeight="1" s="203">
      <c r="A61" s="55" t="n">
        <v>58</v>
      </c>
      <c r="B61" s="56" t="inlineStr">
        <is>
          <t>Validate Data Ranges — HR Age Dataset</t>
        </is>
      </c>
      <c r="C61" s="55" t="inlineStr">
        <is>
          <t>Phase 2</t>
        </is>
      </c>
      <c r="D61" s="55" t="inlineStr">
        <is>
          <t>Rohit Gupta</t>
        </is>
      </c>
      <c r="E61" s="55" t="inlineStr">
        <is>
          <t>Data Platform</t>
        </is>
      </c>
      <c r="F61" s="57" t="n">
        <v>45384</v>
      </c>
      <c r="G61" s="57" t="n">
        <v>45412</v>
      </c>
      <c r="H61" s="55">
        <f>IF(OR(F61="",G61=""),"",G61-F61)</f>
        <v/>
      </c>
      <c r="I61" s="55">
        <f>IFERROR(IF(VALUE(SUBSTITUTE(SUBSTITUTE(J61,"%","")," ",""))&lt;=0,"Not Started",IF(VALUE(SUBSTITUTE(SUBSTITUTE(J61,"%","")," ",""))&gt;=100,"Completed","In Progress")),"Not Started")</f>
        <v/>
      </c>
      <c r="J61" s="58" t="n">
        <v>1</v>
      </c>
      <c r="K61" s="55" t="inlineStr">
        <is>
          <t>Critical</t>
        </is>
      </c>
      <c r="L61" s="59" t="n">
        <v>2000</v>
      </c>
      <c r="M61" s="55" t="n">
        <v>120</v>
      </c>
      <c r="N61" s="59">
        <f>IF(OR(L61="",H61=""),"",L61*H61)</f>
        <v/>
      </c>
      <c r="O61" s="55" t="inlineStr">
        <is>
          <t>—</t>
        </is>
      </c>
      <c r="P61" s="55">
        <f>IFERROR(IF(VALUE(SUBSTITUTE(SUBSTITUTE(J61,"%","")," ",""))&gt;=100,"Completed",IF(VALUE(SUBSTITUTE(SUBSTITUTE(J61,"%","")," ",""))&lt;=0,"Not Started","In Progress")),"Not Started")</f>
        <v/>
      </c>
      <c r="Q61" s="55" t="n"/>
      <c r="R61" s="55" t="n"/>
    </row>
    <row r="62" ht="15" customHeight="1" s="203">
      <c r="A62" s="50" t="n">
        <v>59</v>
      </c>
      <c r="B62" s="51" t="inlineStr">
        <is>
          <t>Standardize Category Labels — Product SKU</t>
        </is>
      </c>
      <c r="C62" s="50" t="inlineStr">
        <is>
          <t>Phase 3</t>
        </is>
      </c>
      <c r="D62" s="50" t="inlineStr">
        <is>
          <t>Priya Sharma</t>
        </is>
      </c>
      <c r="E62" s="50" t="inlineStr">
        <is>
          <t>Quality Assur.</t>
        </is>
      </c>
      <c r="F62" s="52" t="n">
        <v>45316</v>
      </c>
      <c r="G62" s="52" t="n">
        <v>45328</v>
      </c>
      <c r="H62" s="50">
        <f>IF(OR(F62="",G62=""),"",G62-F62)</f>
        <v/>
      </c>
      <c r="I62" s="50">
        <f>IFERROR(IF(VALUE(SUBSTITUTE(SUBSTITUTE(J62,"%","")," ",""))&lt;=0,"Not Started",IF(VALUE(SUBSTITUTE(SUBSTITUTE(J62,"%","")," ",""))&gt;=100,"Completed","In Progress")),"Not Started")</f>
        <v/>
      </c>
      <c r="J62" s="53" t="n">
        <v>0.5</v>
      </c>
      <c r="K62" s="50" t="inlineStr">
        <is>
          <t>Critical</t>
        </is>
      </c>
      <c r="L62" s="54" t="n">
        <v>5500</v>
      </c>
      <c r="M62" s="50" t="n">
        <v>168</v>
      </c>
      <c r="N62" s="54">
        <f>IF(OR(L62="",H62=""),"",L62*H62)</f>
        <v/>
      </c>
      <c r="O62" s="50" t="inlineStr">
        <is>
          <t>—</t>
        </is>
      </c>
      <c r="P62" s="50">
        <f>IFERROR(IF(VALUE(SUBSTITUTE(SUBSTITUTE(J62,"%","")," ",""))&gt;=100,"Completed",IF(VALUE(SUBSTITUTE(SUBSTITUTE(J62,"%","")," ",""))&lt;=0,"Not Started","In Progress")),"Not Started")</f>
        <v/>
      </c>
      <c r="Q62" s="50" t="n"/>
      <c r="R62" s="50" t="n"/>
    </row>
    <row r="63" ht="15" customHeight="1" s="203">
      <c r="A63" s="50" t="n">
        <v>60</v>
      </c>
      <c r="B63" s="51" t="inlineStr">
        <is>
          <t>Combine &amp; Reconcile Columns — Address</t>
        </is>
      </c>
      <c r="C63" s="50" t="inlineStr">
        <is>
          <t>Phase 4</t>
        </is>
      </c>
      <c r="D63" s="50" t="inlineStr">
        <is>
          <t>Lakshmi Nair</t>
        </is>
      </c>
      <c r="E63" s="50" t="inlineStr">
        <is>
          <t>PMO</t>
        </is>
      </c>
      <c r="F63" s="52" t="n">
        <v>45299</v>
      </c>
      <c r="G63" s="52" t="n">
        <v>45311</v>
      </c>
      <c r="H63" s="50">
        <f>IF(OR(F63="",G63=""),"",G63-F63)</f>
        <v/>
      </c>
      <c r="I63" s="50">
        <f>IFERROR(IF(VALUE(SUBSTITUTE(SUBSTITUTE(J63,"%","")," ",""))&lt;=0,"Not Started",IF(VALUE(SUBSTITUTE(SUBSTITUTE(J63,"%","")," ",""))&gt;=100,"Completed","In Progress")),"Not Started")</f>
        <v/>
      </c>
      <c r="J63" s="53" t="n">
        <v>0.75</v>
      </c>
      <c r="K63" s="50" t="inlineStr">
        <is>
          <t>Medium</t>
        </is>
      </c>
      <c r="L63" s="54" t="n">
        <v>3500</v>
      </c>
      <c r="M63" s="50" t="n">
        <v>140</v>
      </c>
      <c r="N63" s="54">
        <f>IF(OR(L63="",H63=""),"",L63*H63)</f>
        <v/>
      </c>
      <c r="O63" s="50" t="inlineStr">
        <is>
          <t>Needs validation</t>
        </is>
      </c>
      <c r="P63" s="50">
        <f>IFERROR(IF(VALUE(SUBSTITUTE(SUBSTITUTE(J63,"%","")," ",""))&gt;=100,"Completed",IF(VALUE(SUBSTITUTE(SUBSTITUTE(J63,"%","")," ",""))&lt;=0,"Not Started","In Progress")),"Not Started")</f>
        <v/>
      </c>
      <c r="Q63" s="50" t="n"/>
      <c r="R63" s="50" t="n"/>
    </row>
    <row r="64" ht="15" customHeight="1" s="203">
      <c r="A64" s="45" t="n">
        <v>61</v>
      </c>
      <c r="B64" s="46" t="inlineStr">
        <is>
          <t>Remove Duplicates — CRM Export Cleaning</t>
        </is>
      </c>
      <c r="C64" s="45" t="inlineStr">
        <is>
          <t>Phase 1</t>
        </is>
      </c>
      <c r="D64" s="45" t="inlineStr">
        <is>
          <t>Amit Roy</t>
        </is>
      </c>
      <c r="E64" s="45" t="inlineStr">
        <is>
          <t>BI &amp; Analytics</t>
        </is>
      </c>
      <c r="F64" s="47" t="n">
        <v>45363</v>
      </c>
      <c r="G64" s="47" t="n">
        <v>45375</v>
      </c>
      <c r="H64" s="45">
        <f>IF(OR(F64="",G64=""),"",G64-F64)</f>
        <v/>
      </c>
      <c r="I64" s="45">
        <f>IFERROR(IF(VALUE(SUBSTITUTE(SUBSTITUTE(J64,"%","")," ",""))&lt;=0,"Not Started",IF(VALUE(SUBSTITUTE(SUBSTITUTE(J64,"%","")," ",""))&gt;=100,"Completed","In Progress")),"Not Started")</f>
        <v/>
      </c>
      <c r="J64" s="48" t="n">
        <v>0.75</v>
      </c>
      <c r="K64" s="45" t="inlineStr">
        <is>
          <t>High</t>
        </is>
      </c>
      <c r="L64" s="49" t="n">
        <v>2000</v>
      </c>
      <c r="M64" s="45" t="n">
        <v>0</v>
      </c>
      <c r="N64" s="49">
        <f>IF(OR(L64="",H64=""),"",L64*H64)</f>
        <v/>
      </c>
      <c r="O64" s="45" t="inlineStr">
        <is>
          <t>—</t>
        </is>
      </c>
      <c r="P64" s="45">
        <f>IFERROR(IF(VALUE(SUBSTITUTE(SUBSTITUTE(J64,"%","")," ",""))&gt;=100,"Completed",IF(VALUE(SUBSTITUTE(SUBSTITUTE(J64,"%","")," ",""))&lt;=0,"Not Started","In Progress")),"Not Started")</f>
        <v/>
      </c>
      <c r="Q64" s="45" t="n"/>
      <c r="R64" s="45" t="n"/>
    </row>
    <row r="65" ht="15" customHeight="1" s="203">
      <c r="A65" s="55" t="n">
        <v>62</v>
      </c>
      <c r="B65" s="56" t="inlineStr">
        <is>
          <t>Trim Extra Spaces — Customer Name Import</t>
        </is>
      </c>
      <c r="C65" s="55" t="inlineStr">
        <is>
          <t>Phase 2</t>
        </is>
      </c>
      <c r="D65" s="55" t="inlineStr">
        <is>
          <t>Sunita Verma</t>
        </is>
      </c>
      <c r="E65" s="55" t="inlineStr">
        <is>
          <t>Business Intel.</t>
        </is>
      </c>
      <c r="F65" s="57" t="n">
        <v>45379</v>
      </c>
      <c r="G65" s="57" t="n">
        <v>45393</v>
      </c>
      <c r="H65" s="55">
        <f>IF(OR(F65="",G65=""),"",G65-F65)</f>
        <v/>
      </c>
      <c r="I65" s="55">
        <f>IFERROR(IF(VALUE(SUBSTITUTE(SUBSTITUTE(J65,"%","")," ",""))&lt;=0,"Not Started",IF(VALUE(SUBSTITUTE(SUBSTITUTE(J65,"%","")," ",""))&gt;=100,"Completed","In Progress")),"Not Started")</f>
        <v/>
      </c>
      <c r="J65" s="58" t="n">
        <v>0.75</v>
      </c>
      <c r="K65" s="55" t="inlineStr">
        <is>
          <t>Critical</t>
        </is>
      </c>
      <c r="L65" s="59" t="n">
        <v>4200</v>
      </c>
      <c r="M65" s="55" t="n">
        <v>168</v>
      </c>
      <c r="N65" s="59">
        <f>IF(OR(L65="",H65=""),"",L65*H65)</f>
        <v/>
      </c>
      <c r="O65" s="55" t="inlineStr">
        <is>
          <t>Extra spaces detected</t>
        </is>
      </c>
      <c r="P65" s="55">
        <f>IFERROR(IF(VALUE(SUBSTITUTE(SUBSTITUTE(J65,"%","")," ",""))&gt;=100,"Completed",IF(VALUE(SUBSTITUTE(SUBSTITUTE(J65,"%","")," ",""))&lt;=0,"Not Started","In Progress")),"Not Started")</f>
        <v/>
      </c>
      <c r="Q65" s="55" t="n"/>
      <c r="R65" s="55" t="n"/>
    </row>
    <row r="66" ht="15" customHeight="1" s="203">
      <c r="A66" s="45" t="n">
        <v>63</v>
      </c>
      <c r="B66" s="46" t="inlineStr">
        <is>
          <t>Standardize Text Case — Region Codes</t>
        </is>
      </c>
      <c r="C66" s="45" t="inlineStr">
        <is>
          <t>Phase 3</t>
        </is>
      </c>
      <c r="D66" s="45" t="inlineStr">
        <is>
          <t>Vikram Nair</t>
        </is>
      </c>
      <c r="E66" s="45" t="inlineStr">
        <is>
          <t>Data Platform</t>
        </is>
      </c>
      <c r="F66" s="47" t="n">
        <v>45434</v>
      </c>
      <c r="G66" s="47" t="n">
        <v>45462</v>
      </c>
      <c r="H66" s="45">
        <f>IF(OR(F66="",G66=""),"",G66-F66)</f>
        <v/>
      </c>
      <c r="I66" s="45">
        <f>IFERROR(IF(VALUE(SUBSTITUTE(SUBSTITUTE(J66,"%","")," ",""))&lt;=0,"Not Started",IF(VALUE(SUBSTITUTE(SUBSTITUTE(J66,"%","")," ",""))&gt;=100,"Completed","In Progress")),"Not Started")</f>
        <v/>
      </c>
      <c r="J66" s="48" t="n">
        <v>0</v>
      </c>
      <c r="K66" s="45" t="inlineStr">
        <is>
          <t>High</t>
        </is>
      </c>
      <c r="L66" s="49" t="n">
        <v>4000</v>
      </c>
      <c r="M66" s="45" t="n">
        <v>0</v>
      </c>
      <c r="N66" s="49">
        <f>IF(OR(L66="",H66=""),"",L66*H66)</f>
        <v/>
      </c>
      <c r="O66" s="45" t="inlineStr">
        <is>
          <t>—</t>
        </is>
      </c>
      <c r="P66" s="45">
        <f>IFERROR(IF(VALUE(SUBSTITUTE(SUBSTITUTE(J66,"%","")," ",""))&gt;=100,"Completed",IF(VALUE(SUBSTITUTE(SUBSTITUTE(J66,"%","")," ",""))&lt;=0,"Not Started","In Progress")),"Not Started")</f>
        <v/>
      </c>
      <c r="Q66" s="45" t="n"/>
      <c r="R66" s="45" t="n"/>
    </row>
    <row r="67" ht="15" customHeight="1" s="203">
      <c r="A67" s="50" t="n">
        <v>64</v>
      </c>
      <c r="B67" s="51" t="inlineStr">
        <is>
          <t>Fix Date Formats — Legacy System Dates</t>
        </is>
      </c>
      <c r="C67" s="50" t="inlineStr">
        <is>
          <t>Phase 4</t>
        </is>
      </c>
      <c r="D67" s="50" t="inlineStr">
        <is>
          <t>Vikram Nair</t>
        </is>
      </c>
      <c r="E67" s="50" t="inlineStr">
        <is>
          <t>Quality Assur.</t>
        </is>
      </c>
      <c r="F67" s="52" t="n">
        <v>45387</v>
      </c>
      <c r="G67" s="52" t="n">
        <v>45408</v>
      </c>
      <c r="H67" s="50">
        <f>IF(OR(F67="",G67=""),"",G67-F67)</f>
        <v/>
      </c>
      <c r="I67" s="50">
        <f>IFERROR(IF(VALUE(SUBSTITUTE(SUBSTITUTE(J67,"%","")," ",""))&lt;=0,"Not Started",IF(VALUE(SUBSTITUTE(SUBSTITUTE(J67,"%","")," ",""))&gt;=100,"Completed","In Progress")),"Not Started")</f>
        <v/>
      </c>
      <c r="J67" s="53" t="n">
        <v>0</v>
      </c>
      <c r="K67" s="50" t="inlineStr">
        <is>
          <t>Critical</t>
        </is>
      </c>
      <c r="L67" s="54" t="n">
        <v>2000</v>
      </c>
      <c r="M67" s="50" t="n">
        <v>120</v>
      </c>
      <c r="N67" s="54">
        <f>IF(OR(L67="",H67=""),"",L67*H67)</f>
        <v/>
      </c>
      <c r="O67" s="50" t="inlineStr">
        <is>
          <t>Needs validation</t>
        </is>
      </c>
      <c r="P67" s="50">
        <f>IFERROR(IF(VALUE(SUBSTITUTE(SUBSTITUTE(J67,"%","")," ",""))&gt;=100,"Completed",IF(VALUE(SUBSTITUTE(SUBSTITUTE(J67,"%","")," ",""))&lt;=0,"Not Started","In Progress")),"Not Started")</f>
        <v/>
      </c>
      <c r="Q67" s="50" t="n"/>
      <c r="R67" s="50" t="n"/>
    </row>
    <row r="68" ht="15" customHeight="1" s="203">
      <c r="A68" s="50" t="n">
        <v>65</v>
      </c>
      <c r="B68" s="51" t="inlineStr">
        <is>
          <t>Handle Missing Values — Customer Database</t>
        </is>
      </c>
      <c r="C68" s="50" t="inlineStr">
        <is>
          <t>Phase 1</t>
        </is>
      </c>
      <c r="D68" s="50" t="inlineStr">
        <is>
          <t>Vikram Nair</t>
        </is>
      </c>
      <c r="E68" s="50" t="inlineStr">
        <is>
          <t>PMO</t>
        </is>
      </c>
      <c r="F68" s="52" t="n">
        <v>45392</v>
      </c>
      <c r="G68" s="52" t="n">
        <v>45404</v>
      </c>
      <c r="H68" s="50">
        <f>IF(OR(F68="",G68=""),"",G68-F68)</f>
        <v/>
      </c>
      <c r="I68" s="50">
        <f>IFERROR(IF(VALUE(SUBSTITUTE(SUBSTITUTE(J68,"%","")," ",""))&lt;=0,"Not Started",IF(VALUE(SUBSTITUTE(SUBSTITUTE(J68,"%","")," ",""))&gt;=100,"Completed","In Progress")),"Not Started")</f>
        <v/>
      </c>
      <c r="J68" s="53" t="n">
        <v>0.75</v>
      </c>
      <c r="K68" s="50" t="inlineStr">
        <is>
          <t>Medium</t>
        </is>
      </c>
      <c r="L68" s="54" t="n">
        <v>4000</v>
      </c>
      <c r="M68" s="50" t="n">
        <v>60</v>
      </c>
      <c r="N68" s="54">
        <f>IF(OR(L68="",H68=""),"",L68*H68)</f>
        <v/>
      </c>
      <c r="O68" s="50" t="inlineStr">
        <is>
          <t>—</t>
        </is>
      </c>
      <c r="P68" s="50">
        <f>IFERROR(IF(VALUE(SUBSTITUTE(SUBSTITUTE(J68,"%","")," ",""))&gt;=100,"Completed",IF(VALUE(SUBSTITUTE(SUBSTITUTE(J68,"%","")," ",""))&lt;=0,"Not Started","In Progress")),"Not Started")</f>
        <v/>
      </c>
      <c r="Q68" s="50" t="n"/>
      <c r="R68" s="50" t="n"/>
    </row>
    <row r="69" ht="15" customHeight="1" s="203">
      <c r="A69" s="45" t="n">
        <v>66</v>
      </c>
      <c r="B69" s="46" t="inlineStr">
        <is>
          <t>Split Combined Columns — Contact Database</t>
        </is>
      </c>
      <c r="C69" s="45" t="inlineStr">
        <is>
          <t>Phase 2</t>
        </is>
      </c>
      <c r="D69" s="45" t="inlineStr">
        <is>
          <t>Deepa Krishnan</t>
        </is>
      </c>
      <c r="E69" s="45" t="inlineStr">
        <is>
          <t>BI &amp; Analytics</t>
        </is>
      </c>
      <c r="F69" s="47" t="n">
        <v>45294</v>
      </c>
      <c r="G69" s="47" t="n">
        <v>45315</v>
      </c>
      <c r="H69" s="45">
        <f>IF(OR(F69="",G69=""),"",G69-F69)</f>
        <v/>
      </c>
      <c r="I69" s="45">
        <f>IFERROR(IF(VALUE(SUBSTITUTE(SUBSTITUTE(J69,"%","")," ",""))&lt;=0,"Not Started",IF(VALUE(SUBSTITUTE(SUBSTITUTE(J69,"%","")," ",""))&gt;=100,"Completed","In Progress")),"Not Started")</f>
        <v/>
      </c>
      <c r="J69" s="48" t="n">
        <v>0</v>
      </c>
      <c r="K69" s="45" t="inlineStr">
        <is>
          <t>Critical</t>
        </is>
      </c>
      <c r="L69" s="49" t="n">
        <v>5500</v>
      </c>
      <c r="M69" s="45" t="n">
        <v>0</v>
      </c>
      <c r="N69" s="49">
        <f>IF(OR(L69="",H69=""),"",L69*H69)</f>
        <v/>
      </c>
      <c r="O69" s="45" t="inlineStr">
        <is>
          <t>Extra spaces detected</t>
        </is>
      </c>
      <c r="P69" s="45">
        <f>IFERROR(IF(VALUE(SUBSTITUTE(SUBSTITUTE(J69,"%","")," ",""))&gt;=100,"Completed",IF(VALUE(SUBSTITUTE(SUBSTITUTE(J69,"%","")," ",""))&lt;=0,"Not Started","In Progress")),"Not Started")</f>
        <v/>
      </c>
      <c r="Q69" s="45" t="n"/>
      <c r="R69" s="45" t="n"/>
    </row>
    <row r="70" ht="15" customHeight="1" s="203">
      <c r="A70" s="50" t="n">
        <v>67</v>
      </c>
      <c r="B70" s="51" t="inlineStr">
        <is>
          <t>Remove Non-Numeric Chars — Revenue Data</t>
        </is>
      </c>
      <c r="C70" s="50" t="inlineStr">
        <is>
          <t>Phase 3</t>
        </is>
      </c>
      <c r="D70" s="50" t="inlineStr">
        <is>
          <t>Neha Joshi</t>
        </is>
      </c>
      <c r="E70" s="50" t="inlineStr">
        <is>
          <t>Business Intel.</t>
        </is>
      </c>
      <c r="F70" s="52" t="n">
        <v>45361</v>
      </c>
      <c r="G70" s="52" t="n">
        <v>45371</v>
      </c>
      <c r="H70" s="50">
        <f>IF(OR(F70="",G70=""),"",G70-F70)</f>
        <v/>
      </c>
      <c r="I70" s="50">
        <f>IFERROR(IF(VALUE(SUBSTITUTE(SUBSTITUTE(J70,"%","")," ",""))&lt;=0,"Not Started",IF(VALUE(SUBSTITUTE(SUBSTITUTE(J70,"%","")," ",""))&gt;=100,"Completed","In Progress")),"Not Started")</f>
        <v/>
      </c>
      <c r="J70" s="53" t="n">
        <v>0.4</v>
      </c>
      <c r="K70" s="50" t="inlineStr">
        <is>
          <t>High</t>
        </is>
      </c>
      <c r="L70" s="54" t="n">
        <v>3000</v>
      </c>
      <c r="M70" s="50" t="n">
        <v>160</v>
      </c>
      <c r="N70" s="54">
        <f>IF(OR(L70="",H70=""),"",L70*H70)</f>
        <v/>
      </c>
      <c r="O70" s="50" t="inlineStr">
        <is>
          <t>—</t>
        </is>
      </c>
      <c r="P70" s="50">
        <f>IFERROR(IF(VALUE(SUBSTITUTE(SUBSTITUTE(J70,"%","")," ",""))&gt;=100,"Completed",IF(VALUE(SUBSTITUTE(SUBSTITUTE(J70,"%","")," ",""))&lt;=0,"Not Started","In Progress")),"Not Started")</f>
        <v/>
      </c>
      <c r="Q70" s="50" t="n"/>
      <c r="R70" s="50" t="n"/>
    </row>
    <row r="71" ht="15" customHeight="1" s="203">
      <c r="A71" s="50" t="n">
        <v>68</v>
      </c>
      <c r="B71" s="51" t="inlineStr">
        <is>
          <t>Validate Data Ranges — HR Age Dataset</t>
        </is>
      </c>
      <c r="C71" s="50" t="inlineStr">
        <is>
          <t>Phase 4</t>
        </is>
      </c>
      <c r="D71" s="50" t="inlineStr">
        <is>
          <t>Karan Malhotra</t>
        </is>
      </c>
      <c r="E71" s="50" t="inlineStr">
        <is>
          <t>Data Platform</t>
        </is>
      </c>
      <c r="F71" s="52" t="n">
        <v>45326</v>
      </c>
      <c r="G71" s="52" t="n">
        <v>45340</v>
      </c>
      <c r="H71" s="50">
        <f>IF(OR(F71="",G71=""),"",G71-F71)</f>
        <v/>
      </c>
      <c r="I71" s="50">
        <f>IFERROR(IF(VALUE(SUBSTITUTE(SUBSTITUTE(J71,"%","")," ",""))&lt;=0,"Not Started",IF(VALUE(SUBSTITUTE(SUBSTITUTE(J71,"%","")," ",""))&gt;=100,"Completed","In Progress")),"Not Started")</f>
        <v/>
      </c>
      <c r="J71" s="53" t="n">
        <v>0.25</v>
      </c>
      <c r="K71" s="50" t="inlineStr">
        <is>
          <t>Low</t>
        </is>
      </c>
      <c r="L71" s="54" t="n">
        <v>2000</v>
      </c>
      <c r="M71" s="50" t="n">
        <v>80</v>
      </c>
      <c r="N71" s="54">
        <f>IF(OR(L71="",H71=""),"",L71*H71)</f>
        <v/>
      </c>
      <c r="O71" s="50" t="inlineStr">
        <is>
          <t>—</t>
        </is>
      </c>
      <c r="P71" s="50">
        <f>IFERROR(IF(VALUE(SUBSTITUTE(SUBSTITUTE(J71,"%","")," ",""))&gt;=100,"Completed",IF(VALUE(SUBSTITUTE(SUBSTITUTE(J71,"%","")," ",""))&lt;=0,"Not Started","In Progress")),"Not Started")</f>
        <v/>
      </c>
      <c r="Q71" s="50" t="n"/>
      <c r="R71" s="50" t="n"/>
    </row>
    <row r="72" ht="15" customHeight="1" s="203">
      <c r="A72" s="55" t="n">
        <v>69</v>
      </c>
      <c r="B72" s="56" t="inlineStr">
        <is>
          <t>Standardize Category Labels — Product SKU</t>
        </is>
      </c>
      <c r="C72" s="55" t="inlineStr">
        <is>
          <t>Phase 1</t>
        </is>
      </c>
      <c r="D72" s="55" t="inlineStr">
        <is>
          <t>Siddharth Rao</t>
        </is>
      </c>
      <c r="E72" s="55" t="inlineStr">
        <is>
          <t>Quality Assur.</t>
        </is>
      </c>
      <c r="F72" s="57" t="n">
        <v>45346</v>
      </c>
      <c r="G72" s="57" t="n">
        <v>45367</v>
      </c>
      <c r="H72" s="55">
        <f>IF(OR(F72="",G72=""),"",G72-F72)</f>
        <v/>
      </c>
      <c r="I72" s="55">
        <f>IFERROR(IF(VALUE(SUBSTITUTE(SUBSTITUTE(J72,"%","")," ",""))&lt;=0,"Not Started",IF(VALUE(SUBSTITUTE(SUBSTITUTE(J72,"%","")," ",""))&gt;=100,"Completed","In Progress")),"Not Started")</f>
        <v/>
      </c>
      <c r="J72" s="58" t="n">
        <v>0.25</v>
      </c>
      <c r="K72" s="55" t="inlineStr">
        <is>
          <t>High</t>
        </is>
      </c>
      <c r="L72" s="59" t="n">
        <v>4000</v>
      </c>
      <c r="M72" s="55" t="n">
        <v>80</v>
      </c>
      <c r="N72" s="59">
        <f>IF(OR(L72="",H72=""),"",L72*H72)</f>
        <v/>
      </c>
      <c r="O72" s="55" t="inlineStr">
        <is>
          <t>Check formula</t>
        </is>
      </c>
      <c r="P72" s="55">
        <f>IFERROR(IF(VALUE(SUBSTITUTE(SUBSTITUTE(J72,"%","")," ",""))&gt;=100,"Completed",IF(VALUE(SUBSTITUTE(SUBSTITUTE(J72,"%","")," ",""))&lt;=0,"Not Started","In Progress")),"Not Started")</f>
        <v/>
      </c>
      <c r="Q72" s="55" t="n"/>
      <c r="R72" s="55" t="n"/>
    </row>
    <row r="73" ht="15" customHeight="1" s="203">
      <c r="A73" s="55" t="n">
        <v>70</v>
      </c>
      <c r="B73" s="56" t="inlineStr">
        <is>
          <t>Combine &amp; Reconcile Columns — Address</t>
        </is>
      </c>
      <c r="C73" s="55" t="inlineStr">
        <is>
          <t>Phase 2</t>
        </is>
      </c>
      <c r="D73" s="55" t="inlineStr">
        <is>
          <t>Pooja Iyer</t>
        </is>
      </c>
      <c r="E73" s="55" t="inlineStr">
        <is>
          <t>PMO</t>
        </is>
      </c>
      <c r="F73" s="57" t="n">
        <v>45381</v>
      </c>
      <c r="G73" s="57" t="n">
        <v>45391</v>
      </c>
      <c r="H73" s="55">
        <f>IF(OR(F73="",G73=""),"",G73-F73)</f>
        <v/>
      </c>
      <c r="I73" s="55">
        <f>IFERROR(IF(VALUE(SUBSTITUTE(SUBSTITUTE(J73,"%","")," ",""))&lt;=0,"Not Started",IF(VALUE(SUBSTITUTE(SUBSTITUTE(J73,"%","")," ",""))&gt;=100,"Completed","In Progress")),"Not Started")</f>
        <v/>
      </c>
      <c r="J73" s="58" t="n">
        <v>0.5</v>
      </c>
      <c r="K73" s="55" t="inlineStr">
        <is>
          <t>High</t>
        </is>
      </c>
      <c r="L73" s="59" t="n">
        <v>2000</v>
      </c>
      <c r="M73" s="55" t="n">
        <v>60</v>
      </c>
      <c r="N73" s="59">
        <f>IF(OR(L73="",H73=""),"",L73*H73)</f>
        <v/>
      </c>
      <c r="O73" s="55" t="inlineStr">
        <is>
          <t>—</t>
        </is>
      </c>
      <c r="P73" s="55">
        <f>IFERROR(IF(VALUE(SUBSTITUTE(SUBSTITUTE(J73,"%","")," ",""))&gt;=100,"Completed",IF(VALUE(SUBSTITUTE(SUBSTITUTE(J73,"%","")," ",""))&lt;=0,"Not Started","In Progress")),"Not Started")</f>
        <v/>
      </c>
      <c r="Q73" s="55" t="n"/>
      <c r="R73" s="55" t="n"/>
    </row>
    <row r="74" ht="15" customHeight="1" s="203">
      <c r="A74" s="50" t="n">
        <v>71</v>
      </c>
      <c r="B74" s="51" t="inlineStr">
        <is>
          <t>Remove Duplicates — CRM Export Cleaning</t>
        </is>
      </c>
      <c r="C74" s="50" t="inlineStr">
        <is>
          <t>Phase 3</t>
        </is>
      </c>
      <c r="D74" s="50" t="inlineStr">
        <is>
          <t>Meera Pillai</t>
        </is>
      </c>
      <c r="E74" s="50" t="inlineStr">
        <is>
          <t>BI &amp; Analytics</t>
        </is>
      </c>
      <c r="F74" s="52" t="n">
        <v>45424</v>
      </c>
      <c r="G74" s="52" t="n">
        <v>45438</v>
      </c>
      <c r="H74" s="50">
        <f>IF(OR(F74="",G74=""),"",G74-F74)</f>
        <v/>
      </c>
      <c r="I74" s="50">
        <f>IFERROR(IF(VALUE(SUBSTITUTE(SUBSTITUTE(J74,"%","")," ",""))&lt;=0,"Not Started",IF(VALUE(SUBSTITUTE(SUBSTITUTE(J74,"%","")," ",""))&gt;=100,"Completed","In Progress")),"Not Started")</f>
        <v/>
      </c>
      <c r="J74" s="53" t="n">
        <v>0</v>
      </c>
      <c r="K74" s="50" t="inlineStr">
        <is>
          <t>Critical</t>
        </is>
      </c>
      <c r="L74" s="54" t="n">
        <v>4200</v>
      </c>
      <c r="M74" s="50" t="n">
        <v>140</v>
      </c>
      <c r="N74" s="54">
        <f>IF(OR(L74="",H74=""),"",L74*H74)</f>
        <v/>
      </c>
      <c r="O74" s="50" t="inlineStr">
        <is>
          <t>—</t>
        </is>
      </c>
      <c r="P74" s="50">
        <f>IFERROR(IF(VALUE(SUBSTITUTE(SUBSTITUTE(J74,"%","")," ",""))&gt;=100,"Completed",IF(VALUE(SUBSTITUTE(SUBSTITUTE(J74,"%","")," ",""))&lt;=0,"Not Started","In Progress")),"Not Started")</f>
        <v/>
      </c>
      <c r="Q74" s="50" t="n"/>
      <c r="R74" s="50" t="n"/>
    </row>
    <row r="75" ht="15" customHeight="1" s="203">
      <c r="A75" s="55" t="n">
        <v>72</v>
      </c>
      <c r="B75" s="56" t="inlineStr">
        <is>
          <t>Trim Extra Spaces — Customer Name Import</t>
        </is>
      </c>
      <c r="C75" s="55" t="inlineStr">
        <is>
          <t>Phase 4</t>
        </is>
      </c>
      <c r="D75" s="55" t="inlineStr">
        <is>
          <t>Meera Pillai</t>
        </is>
      </c>
      <c r="E75" s="55" t="inlineStr">
        <is>
          <t>Business Intel.</t>
        </is>
      </c>
      <c r="F75" s="57" t="n">
        <v>45307</v>
      </c>
      <c r="G75" s="57" t="n">
        <v>45314</v>
      </c>
      <c r="H75" s="55">
        <f>IF(OR(F75="",G75=""),"",G75-F75)</f>
        <v/>
      </c>
      <c r="I75" s="55">
        <f>IFERROR(IF(VALUE(SUBSTITUTE(SUBSTITUTE(J75,"%","")," ",""))&lt;=0,"Not Started",IF(VALUE(SUBSTITUTE(SUBSTITUTE(J75,"%","")," ",""))&gt;=100,"Completed","In Progress")),"Not Started")</f>
        <v/>
      </c>
      <c r="J75" s="58" t="n">
        <v>0.5</v>
      </c>
      <c r="K75" s="55" t="inlineStr">
        <is>
          <t>High</t>
        </is>
      </c>
      <c r="L75" s="59" t="n">
        <v>2000</v>
      </c>
      <c r="M75" s="55" t="n">
        <v>160</v>
      </c>
      <c r="N75" s="59">
        <f>IF(OR(L75="",H75=""),"",L75*H75)</f>
        <v/>
      </c>
      <c r="O75" s="55" t="inlineStr">
        <is>
          <t>Pending review</t>
        </is>
      </c>
      <c r="P75" s="55">
        <f>IFERROR(IF(VALUE(SUBSTITUTE(SUBSTITUTE(J75,"%","")," ",""))&gt;=100,"Completed",IF(VALUE(SUBSTITUTE(SUBSTITUTE(J75,"%","")," ",""))&lt;=0,"Not Started","In Progress")),"Not Started")</f>
        <v/>
      </c>
      <c r="Q75" s="55" t="n"/>
      <c r="R75" s="55" t="n"/>
    </row>
    <row r="76" ht="15" customHeight="1" s="203">
      <c r="A76" s="55" t="n">
        <v>73</v>
      </c>
      <c r="B76" s="56" t="inlineStr">
        <is>
          <t>Standardize Text Case — Region Codes</t>
        </is>
      </c>
      <c r="C76" s="55" t="inlineStr">
        <is>
          <t>Phase 1</t>
        </is>
      </c>
      <c r="D76" s="55" t="inlineStr">
        <is>
          <t>Rohit Gupta</t>
        </is>
      </c>
      <c r="E76" s="55" t="inlineStr">
        <is>
          <t>Data Platform</t>
        </is>
      </c>
      <c r="F76" s="57" t="n">
        <v>45294</v>
      </c>
      <c r="G76" s="57" t="n">
        <v>45315</v>
      </c>
      <c r="H76" s="55">
        <f>IF(OR(F76="",G76=""),"",G76-F76)</f>
        <v/>
      </c>
      <c r="I76" s="55">
        <f>IFERROR(IF(VALUE(SUBSTITUTE(SUBSTITUTE(J76,"%","")," ",""))&lt;=0,"Not Started",IF(VALUE(SUBSTITUTE(SUBSTITUTE(J76,"%","")," ",""))&gt;=100,"Completed","In Progress")),"Not Started")</f>
        <v/>
      </c>
      <c r="J76" s="58" t="n">
        <v>0.25</v>
      </c>
      <c r="K76" s="55" t="inlineStr">
        <is>
          <t>High</t>
        </is>
      </c>
      <c r="L76" s="59" t="n">
        <v>2000</v>
      </c>
      <c r="M76" s="55" t="n">
        <v>80</v>
      </c>
      <c r="N76" s="59">
        <f>IF(OR(L76="",H76=""),"",L76*H76)</f>
        <v/>
      </c>
      <c r="O76" s="55" t="inlineStr">
        <is>
          <t>Verified OK</t>
        </is>
      </c>
      <c r="P76" s="55">
        <f>IFERROR(IF(VALUE(SUBSTITUTE(SUBSTITUTE(J76,"%","")," ",""))&gt;=100,"Completed",IF(VALUE(SUBSTITUTE(SUBSTITUTE(J76,"%","")," ",""))&lt;=0,"Not Started","In Progress")),"Not Started")</f>
        <v/>
      </c>
      <c r="Q76" s="55" t="n"/>
      <c r="R76" s="55" t="n"/>
    </row>
    <row r="77" ht="15" customHeight="1" s="203">
      <c r="A77" s="50" t="n">
        <v>74</v>
      </c>
      <c r="B77" s="51" t="inlineStr">
        <is>
          <t>Fix Date Formats — Legacy System Dates</t>
        </is>
      </c>
      <c r="C77" s="50" t="inlineStr">
        <is>
          <t>Phase 2</t>
        </is>
      </c>
      <c r="D77" s="50" t="inlineStr">
        <is>
          <t>Rohit Gupta</t>
        </is>
      </c>
      <c r="E77" s="50" t="inlineStr">
        <is>
          <t>Quality Assur.</t>
        </is>
      </c>
      <c r="F77" s="52" t="n">
        <v>45357</v>
      </c>
      <c r="G77" s="52" t="n">
        <v>45369</v>
      </c>
      <c r="H77" s="50">
        <f>IF(OR(F77="",G77=""),"",G77-F77)</f>
        <v/>
      </c>
      <c r="I77" s="50">
        <f>IFERROR(IF(VALUE(SUBSTITUTE(SUBSTITUTE(J77,"%","")," ",""))&lt;=0,"Not Started",IF(VALUE(SUBSTITUTE(SUBSTITUTE(J77,"%","")," ",""))&gt;=100,"Completed","In Progress")),"Not Started")</f>
        <v/>
      </c>
      <c r="J77" s="53" t="n">
        <v>0.4</v>
      </c>
      <c r="K77" s="50" t="inlineStr">
        <is>
          <t>Low</t>
        </is>
      </c>
      <c r="L77" s="54" t="n">
        <v>3500</v>
      </c>
      <c r="M77" s="50" t="n">
        <v>80</v>
      </c>
      <c r="N77" s="54">
        <f>IF(OR(L77="",H77=""),"",L77*H77)</f>
        <v/>
      </c>
      <c r="O77" s="50" t="inlineStr">
        <is>
          <t>—</t>
        </is>
      </c>
      <c r="P77" s="50">
        <f>IFERROR(IF(VALUE(SUBSTITUTE(SUBSTITUTE(J77,"%","")," ",""))&gt;=100,"Completed",IF(VALUE(SUBSTITUTE(SUBSTITUTE(J77,"%","")," ",""))&lt;=0,"Not Started","In Progress")),"Not Started")</f>
        <v/>
      </c>
      <c r="Q77" s="50" t="n"/>
      <c r="R77" s="50" t="n"/>
    </row>
    <row r="78" ht="15" customHeight="1" s="203">
      <c r="A78" s="45" t="n">
        <v>75</v>
      </c>
      <c r="B78" s="46" t="inlineStr">
        <is>
          <t>Handle Missing Values — Customer Database</t>
        </is>
      </c>
      <c r="C78" s="45" t="inlineStr">
        <is>
          <t>Phase 3</t>
        </is>
      </c>
      <c r="D78" s="45" t="inlineStr">
        <is>
          <t>Rahul Mehta</t>
        </is>
      </c>
      <c r="E78" s="45" t="inlineStr">
        <is>
          <t>PMO</t>
        </is>
      </c>
      <c r="F78" s="47" t="n">
        <v>45321</v>
      </c>
      <c r="G78" s="47" t="n">
        <v>45331</v>
      </c>
      <c r="H78" s="45">
        <f>IF(OR(F78="",G78=""),"",G78-F78)</f>
        <v/>
      </c>
      <c r="I78" s="45">
        <f>IFERROR(IF(VALUE(SUBSTITUTE(SUBSTITUTE(J78,"%","")," ",""))&lt;=0,"Not Started",IF(VALUE(SUBSTITUTE(SUBSTITUTE(J78,"%","")," ",""))&gt;=100,"Completed","In Progress")),"Not Started")</f>
        <v/>
      </c>
      <c r="J78" s="48" t="n">
        <v>0</v>
      </c>
      <c r="K78" s="45" t="inlineStr">
        <is>
          <t>Medium</t>
        </is>
      </c>
      <c r="L78" s="49" t="n">
        <v>2000</v>
      </c>
      <c r="M78" s="45" t="n">
        <v>60</v>
      </c>
      <c r="N78" s="49">
        <f>IF(OR(L78="",H78=""),"",L78*H78)</f>
        <v/>
      </c>
      <c r="O78" s="45" t="inlineStr">
        <is>
          <t>—</t>
        </is>
      </c>
      <c r="P78" s="45">
        <f>IFERROR(IF(VALUE(SUBSTITUTE(SUBSTITUTE(J78,"%","")," ",""))&gt;=100,"Completed",IF(VALUE(SUBSTITUTE(SUBSTITUTE(J78,"%","")," ",""))&lt;=0,"Not Started","In Progress")),"Not Started")</f>
        <v/>
      </c>
      <c r="Q78" s="45" t="n"/>
      <c r="R78" s="45" t="n"/>
    </row>
    <row r="79" ht="15" customHeight="1" s="203">
      <c r="A79" s="45" t="n">
        <v>76</v>
      </c>
      <c r="B79" s="46" t="inlineStr">
        <is>
          <t>Split Combined Columns — Contact Database</t>
        </is>
      </c>
      <c r="C79" s="45" t="inlineStr">
        <is>
          <t>Phase 4</t>
        </is>
      </c>
      <c r="D79" s="45" t="inlineStr">
        <is>
          <t>Priya Sharma</t>
        </is>
      </c>
      <c r="E79" s="45" t="inlineStr">
        <is>
          <t>BI &amp; Analytics</t>
        </is>
      </c>
      <c r="F79" s="47" t="n">
        <v>45431</v>
      </c>
      <c r="G79" s="47" t="n">
        <v>45445</v>
      </c>
      <c r="H79" s="45">
        <f>IF(OR(F79="",G79=""),"",G79-F79)</f>
        <v/>
      </c>
      <c r="I79" s="45">
        <f>IFERROR(IF(VALUE(SUBSTITUTE(SUBSTITUTE(J79,"%","")," ",""))&lt;=0,"Not Started",IF(VALUE(SUBSTITUTE(SUBSTITUTE(J79,"%","")," ",""))&gt;=100,"Completed","In Progress")),"Not Started")</f>
        <v/>
      </c>
      <c r="J79" s="48" t="n">
        <v>0.4</v>
      </c>
      <c r="K79" s="45" t="inlineStr">
        <is>
          <t>High</t>
        </is>
      </c>
      <c r="L79" s="49" t="n">
        <v>5000</v>
      </c>
      <c r="M79" s="45" t="n">
        <v>0</v>
      </c>
      <c r="N79" s="49">
        <f>IF(OR(L79="",H79=""),"",L79*H79)</f>
        <v/>
      </c>
      <c r="O79" s="45" t="inlineStr">
        <is>
          <t>—</t>
        </is>
      </c>
      <c r="P79" s="45">
        <f>IFERROR(IF(VALUE(SUBSTITUTE(SUBSTITUTE(J79,"%","")," ",""))&gt;=100,"Completed",IF(VALUE(SUBSTITUTE(SUBSTITUTE(J79,"%","")," ",""))&lt;=0,"Not Started","In Progress")),"Not Started")</f>
        <v/>
      </c>
      <c r="Q79" s="45" t="n"/>
      <c r="R79" s="45" t="n"/>
    </row>
    <row r="80" ht="15" customHeight="1" s="203">
      <c r="A80" s="55" t="n">
        <v>77</v>
      </c>
      <c r="B80" s="56" t="inlineStr">
        <is>
          <t>Remove Non-Numeric Chars — Revenue Data</t>
        </is>
      </c>
      <c r="C80" s="55" t="inlineStr">
        <is>
          <t>Phase 1</t>
        </is>
      </c>
      <c r="D80" s="55" t="inlineStr">
        <is>
          <t>Rahul Mehta</t>
        </is>
      </c>
      <c r="E80" s="55" t="inlineStr">
        <is>
          <t>Business Intel.</t>
        </is>
      </c>
      <c r="F80" s="57" t="n">
        <v>45426</v>
      </c>
      <c r="G80" s="57" t="n">
        <v>45433</v>
      </c>
      <c r="H80" s="55">
        <f>IF(OR(F80="",G80=""),"",G80-F80)</f>
        <v/>
      </c>
      <c r="I80" s="55">
        <f>IFERROR(IF(VALUE(SUBSTITUTE(SUBSTITUTE(J80,"%","")," ",""))&lt;=0,"Not Started",IF(VALUE(SUBSTITUTE(SUBSTITUTE(J80,"%","")," ",""))&gt;=100,"Completed","In Progress")),"Not Started")</f>
        <v/>
      </c>
      <c r="J80" s="58" t="n">
        <v>0.25</v>
      </c>
      <c r="K80" s="55" t="inlineStr">
        <is>
          <t>High</t>
        </is>
      </c>
      <c r="L80" s="59" t="n">
        <v>3000</v>
      </c>
      <c r="M80" s="55" t="n">
        <v>100</v>
      </c>
      <c r="N80" s="59">
        <f>IF(OR(L80="",H80=""),"",L80*H80)</f>
        <v/>
      </c>
      <c r="O80" s="55" t="inlineStr">
        <is>
          <t>—</t>
        </is>
      </c>
      <c r="P80" s="55">
        <f>IFERROR(IF(VALUE(SUBSTITUTE(SUBSTITUTE(J80,"%","")," ",""))&gt;=100,"Completed",IF(VALUE(SUBSTITUTE(SUBSTITUTE(J80,"%","")," ",""))&lt;=0,"Not Started","In Progress")),"Not Started")</f>
        <v/>
      </c>
      <c r="Q80" s="55" t="n"/>
      <c r="R80" s="55" t="n"/>
    </row>
    <row r="81" ht="15" customHeight="1" s="203">
      <c r="A81" s="45" t="n">
        <v>78</v>
      </c>
      <c r="B81" s="46" t="inlineStr">
        <is>
          <t>Validate Data Ranges — HR Age Dataset</t>
        </is>
      </c>
      <c r="C81" s="45" t="inlineStr">
        <is>
          <t>Phase 2</t>
        </is>
      </c>
      <c r="D81" s="45" t="inlineStr">
        <is>
          <t>Vikram Nair</t>
        </is>
      </c>
      <c r="E81" s="45" t="inlineStr">
        <is>
          <t>Data Platform</t>
        </is>
      </c>
      <c r="F81" s="47" t="n">
        <v>45346</v>
      </c>
      <c r="G81" s="47" t="n">
        <v>45367</v>
      </c>
      <c r="H81" s="45">
        <f>IF(OR(F81="",G81=""),"",G81-F81)</f>
        <v/>
      </c>
      <c r="I81" s="45">
        <f>IFERROR(IF(VALUE(SUBSTITUTE(SUBSTITUTE(J81,"%","")," ",""))&lt;=0,"Not Started",IF(VALUE(SUBSTITUTE(SUBSTITUTE(J81,"%","")," ",""))&gt;=100,"Completed","In Progress")),"Not Started")</f>
        <v/>
      </c>
      <c r="J81" s="48" t="n">
        <v>1</v>
      </c>
      <c r="K81" s="45" t="inlineStr">
        <is>
          <t>High</t>
        </is>
      </c>
      <c r="L81" s="49" t="n">
        <v>3500</v>
      </c>
      <c r="M81" s="45" t="n">
        <v>120</v>
      </c>
      <c r="N81" s="49">
        <f>IF(OR(L81="",H81=""),"",L81*H81)</f>
        <v/>
      </c>
      <c r="O81" s="45" t="inlineStr">
        <is>
          <t>Verified OK</t>
        </is>
      </c>
      <c r="P81" s="45">
        <f>IFERROR(IF(VALUE(SUBSTITUTE(SUBSTITUTE(J81,"%","")," ",""))&gt;=100,"Completed",IF(VALUE(SUBSTITUTE(SUBSTITUTE(J81,"%","")," ",""))&lt;=0,"Not Started","In Progress")),"Not Started")</f>
        <v/>
      </c>
      <c r="Q81" s="45" t="n"/>
      <c r="R81" s="45" t="n"/>
    </row>
    <row r="82" ht="15" customHeight="1" s="203">
      <c r="A82" s="45" t="n">
        <v>79</v>
      </c>
      <c r="B82" s="46" t="inlineStr">
        <is>
          <t>Standardize Category Labels — Product SKU</t>
        </is>
      </c>
      <c r="C82" s="45" t="inlineStr">
        <is>
          <t>Phase 3</t>
        </is>
      </c>
      <c r="D82" s="45" t="inlineStr">
        <is>
          <t>Vikram Nair</t>
        </is>
      </c>
      <c r="E82" s="45" t="inlineStr">
        <is>
          <t>Quality Assur.</t>
        </is>
      </c>
      <c r="F82" s="47" t="n">
        <v>45305</v>
      </c>
      <c r="G82" s="47" t="n">
        <v>45319</v>
      </c>
      <c r="H82" s="45">
        <f>IF(OR(F82="",G82=""),"",G82-F82)</f>
        <v/>
      </c>
      <c r="I82" s="45">
        <f>IFERROR(IF(VALUE(SUBSTITUTE(SUBSTITUTE(J82,"%","")," ",""))&lt;=0,"Not Started",IF(VALUE(SUBSTITUTE(SUBSTITUTE(J82,"%","")," ",""))&gt;=100,"Completed","In Progress")),"Not Started")</f>
        <v/>
      </c>
      <c r="J82" s="48" t="n">
        <v>0.4</v>
      </c>
      <c r="K82" s="45" t="inlineStr">
        <is>
          <t>Low</t>
        </is>
      </c>
      <c r="L82" s="49" t="n">
        <v>3500</v>
      </c>
      <c r="M82" s="45" t="n">
        <v>100</v>
      </c>
      <c r="N82" s="49">
        <f>IF(OR(L82="",H82=""),"",L82*H82)</f>
        <v/>
      </c>
      <c r="O82" s="45" t="inlineStr">
        <is>
          <t>Extra spaces detected</t>
        </is>
      </c>
      <c r="P82" s="45">
        <f>IFERROR(IF(VALUE(SUBSTITUTE(SUBSTITUTE(J82,"%","")," ",""))&gt;=100,"Completed",IF(VALUE(SUBSTITUTE(SUBSTITUTE(J82,"%","")," ",""))&lt;=0,"Not Started","In Progress")),"Not Started")</f>
        <v/>
      </c>
      <c r="Q82" s="45" t="n"/>
      <c r="R82" s="45" t="n"/>
    </row>
    <row r="83" ht="15" customHeight="1" s="203">
      <c r="A83" s="50" t="n">
        <v>80</v>
      </c>
      <c r="B83" s="51" t="inlineStr">
        <is>
          <t>Combine &amp; Reconcile Columns — Address</t>
        </is>
      </c>
      <c r="C83" s="50" t="inlineStr">
        <is>
          <t>Phase 4</t>
        </is>
      </c>
      <c r="D83" s="50" t="inlineStr">
        <is>
          <t>Arjun Pillai</t>
        </is>
      </c>
      <c r="E83" s="50" t="inlineStr">
        <is>
          <t>PMO</t>
        </is>
      </c>
      <c r="F83" s="52" t="n">
        <v>45300</v>
      </c>
      <c r="G83" s="52" t="n">
        <v>45328</v>
      </c>
      <c r="H83" s="50">
        <f>IF(OR(F83="",G83=""),"",G83-F83)</f>
        <v/>
      </c>
      <c r="I83" s="50">
        <f>IFERROR(IF(VALUE(SUBSTITUTE(SUBSTITUTE(J83,"%","")," ",""))&lt;=0,"Not Started",IF(VALUE(SUBSTITUTE(SUBSTITUTE(J83,"%","")," ",""))&gt;=100,"Completed","In Progress")),"Not Started")</f>
        <v/>
      </c>
      <c r="J83" s="53" t="n">
        <v>1</v>
      </c>
      <c r="K83" s="50" t="inlineStr">
        <is>
          <t>Low</t>
        </is>
      </c>
      <c r="L83" s="54" t="n">
        <v>3000</v>
      </c>
      <c r="M83" s="50" t="n">
        <v>160</v>
      </c>
      <c r="N83" s="54">
        <f>IF(OR(L83="",H83=""),"",L83*H83)</f>
        <v/>
      </c>
      <c r="O83" s="50" t="inlineStr">
        <is>
          <t>Verified OK</t>
        </is>
      </c>
      <c r="P83" s="50">
        <f>IFERROR(IF(VALUE(SUBSTITUTE(SUBSTITUTE(J83,"%","")," ",""))&gt;=100,"Completed",IF(VALUE(SUBSTITUTE(SUBSTITUTE(J83,"%","")," ",""))&lt;=0,"Not Started","In Progress")),"Not Started")</f>
        <v/>
      </c>
      <c r="Q83" s="50" t="n"/>
      <c r="R83" s="50" t="n"/>
    </row>
    <row r="84" ht="15" customHeight="1" s="203">
      <c r="A84" s="55" t="n">
        <v>81</v>
      </c>
      <c r="B84" s="56" t="inlineStr">
        <is>
          <t>Remove Duplicates — CRM Export Cleaning</t>
        </is>
      </c>
      <c r="C84" s="55" t="inlineStr">
        <is>
          <t>Phase 1</t>
        </is>
      </c>
      <c r="D84" s="55" t="inlineStr">
        <is>
          <t>Neha Joshi</t>
        </is>
      </c>
      <c r="E84" s="55" t="inlineStr">
        <is>
          <t>BI &amp; Analytics</t>
        </is>
      </c>
      <c r="F84" s="57" t="n">
        <v>45306</v>
      </c>
      <c r="G84" s="57" t="n">
        <v>45313</v>
      </c>
      <c r="H84" s="55">
        <f>IF(OR(F84="",G84=""),"",G84-F84)</f>
        <v/>
      </c>
      <c r="I84" s="55">
        <f>IFERROR(IF(VALUE(SUBSTITUTE(SUBSTITUTE(J84,"%","")," ",""))&lt;=0,"Not Started",IF(VALUE(SUBSTITUTE(SUBSTITUTE(J84,"%","")," ",""))&gt;=100,"Completed","In Progress")),"Not Started")</f>
        <v/>
      </c>
      <c r="J84" s="58" t="n">
        <v>0</v>
      </c>
      <c r="K84" s="55" t="inlineStr">
        <is>
          <t>Critical</t>
        </is>
      </c>
      <c r="L84" s="59" t="n">
        <v>3000</v>
      </c>
      <c r="M84" s="55" t="n">
        <v>160</v>
      </c>
      <c r="N84" s="59">
        <f>IF(OR(L84="",H84=""),"",L84*H84)</f>
        <v/>
      </c>
      <c r="O84" s="55" t="inlineStr">
        <is>
          <t>—</t>
        </is>
      </c>
      <c r="P84" s="55">
        <f>IFERROR(IF(VALUE(SUBSTITUTE(SUBSTITUTE(J84,"%","")," ",""))&gt;=100,"Completed",IF(VALUE(SUBSTITUTE(SUBSTITUTE(J84,"%","")," ",""))&lt;=0,"Not Started","In Progress")),"Not Started")</f>
        <v/>
      </c>
      <c r="Q84" s="55" t="n"/>
      <c r="R84" s="55" t="n"/>
    </row>
    <row r="85" ht="15" customHeight="1" s="203">
      <c r="A85" s="55" t="n">
        <v>82</v>
      </c>
      <c r="B85" s="56" t="inlineStr">
        <is>
          <t>Trim Extra Spaces — Customer Name Import</t>
        </is>
      </c>
      <c r="C85" s="55" t="inlineStr">
        <is>
          <t>Phase 2</t>
        </is>
      </c>
      <c r="D85" s="55" t="inlineStr">
        <is>
          <t>Neha Joshi</t>
        </is>
      </c>
      <c r="E85" s="55" t="inlineStr">
        <is>
          <t>Business Intel.</t>
        </is>
      </c>
      <c r="F85" s="57" t="n">
        <v>45333</v>
      </c>
      <c r="G85" s="57" t="n">
        <v>45347</v>
      </c>
      <c r="H85" s="55">
        <f>IF(OR(F85="",G85=""),"",G85-F85)</f>
        <v/>
      </c>
      <c r="I85" s="55">
        <f>IFERROR(IF(VALUE(SUBSTITUTE(SUBSTITUTE(J85,"%","")," ",""))&lt;=0,"Not Started",IF(VALUE(SUBSTITUTE(SUBSTITUTE(J85,"%","")," ",""))&gt;=100,"Completed","In Progress")),"Not Started")</f>
        <v/>
      </c>
      <c r="J85" s="58" t="n">
        <v>0.75</v>
      </c>
      <c r="K85" s="55" t="inlineStr">
        <is>
          <t>Medium</t>
        </is>
      </c>
      <c r="L85" s="59" t="n">
        <v>5000</v>
      </c>
      <c r="M85" s="55" t="n">
        <v>100</v>
      </c>
      <c r="N85" s="59">
        <f>IF(OR(L85="",H85=""),"",L85*H85)</f>
        <v/>
      </c>
      <c r="O85" s="55" t="inlineStr">
        <is>
          <t>Needs validation</t>
        </is>
      </c>
      <c r="P85" s="55">
        <f>IFERROR(IF(VALUE(SUBSTITUTE(SUBSTITUTE(J85,"%","")," ",""))&gt;=100,"Completed",IF(VALUE(SUBSTITUTE(SUBSTITUTE(J85,"%","")," ",""))&lt;=0,"Not Started","In Progress")),"Not Started")</f>
        <v/>
      </c>
      <c r="Q85" s="55" t="n"/>
      <c r="R85" s="55" t="n"/>
    </row>
    <row r="86" ht="15" customHeight="1" s="203">
      <c r="A86" s="50" t="n">
        <v>83</v>
      </c>
      <c r="B86" s="51" t="inlineStr">
        <is>
          <t>Standardize Text Case — Region Codes</t>
        </is>
      </c>
      <c r="C86" s="50" t="inlineStr">
        <is>
          <t>Phase 3</t>
        </is>
      </c>
      <c r="D86" s="50" t="inlineStr">
        <is>
          <t>Karan Malhotra</t>
        </is>
      </c>
      <c r="E86" s="50" t="inlineStr">
        <is>
          <t>Data Platform</t>
        </is>
      </c>
      <c r="F86" s="52" t="n">
        <v>45309</v>
      </c>
      <c r="G86" s="52" t="n">
        <v>45321</v>
      </c>
      <c r="H86" s="50">
        <f>IF(OR(F86="",G86=""),"",G86-F86)</f>
        <v/>
      </c>
      <c r="I86" s="50">
        <f>IFERROR(IF(VALUE(SUBSTITUTE(SUBSTITUTE(J86,"%","")," ",""))&lt;=0,"Not Started",IF(VALUE(SUBSTITUTE(SUBSTITUTE(J86,"%","")," ",""))&gt;=100,"Completed","In Progress")),"Not Started")</f>
        <v/>
      </c>
      <c r="J86" s="53" t="n">
        <v>0.75</v>
      </c>
      <c r="K86" s="50" t="inlineStr">
        <is>
          <t>High</t>
        </is>
      </c>
      <c r="L86" s="54" t="n">
        <v>2000</v>
      </c>
      <c r="M86" s="50" t="n">
        <v>0</v>
      </c>
      <c r="N86" s="54">
        <f>IF(OR(L86="",H86=""),"",L86*H86)</f>
        <v/>
      </c>
      <c r="O86" s="50" t="inlineStr">
        <is>
          <t>Pending review</t>
        </is>
      </c>
      <c r="P86" s="50">
        <f>IFERROR(IF(VALUE(SUBSTITUTE(SUBSTITUTE(J86,"%","")," ",""))&gt;=100,"Completed",IF(VALUE(SUBSTITUTE(SUBSTITUTE(J86,"%","")," ",""))&lt;=0,"Not Started","In Progress")),"Not Started")</f>
        <v/>
      </c>
      <c r="Q86" s="50" t="n"/>
      <c r="R86" s="50" t="n"/>
    </row>
    <row r="87" ht="15" customHeight="1" s="203">
      <c r="A87" s="45" t="n">
        <v>84</v>
      </c>
      <c r="B87" s="46" t="inlineStr">
        <is>
          <t>Fix Date Formats — Legacy System Dates</t>
        </is>
      </c>
      <c r="C87" s="45" t="inlineStr">
        <is>
          <t>Phase 4</t>
        </is>
      </c>
      <c r="D87" s="45" t="inlineStr">
        <is>
          <t>Pooja Iyer</t>
        </is>
      </c>
      <c r="E87" s="45" t="inlineStr">
        <is>
          <t>Quality Assur.</t>
        </is>
      </c>
      <c r="F87" s="47" t="n">
        <v>45308</v>
      </c>
      <c r="G87" s="47" t="n">
        <v>45322</v>
      </c>
      <c r="H87" s="45">
        <f>IF(OR(F87="",G87=""),"",G87-F87)</f>
        <v/>
      </c>
      <c r="I87" s="45">
        <f>IFERROR(IF(VALUE(SUBSTITUTE(SUBSTITUTE(J87,"%","")," ",""))&lt;=0,"Not Started",IF(VALUE(SUBSTITUTE(SUBSTITUTE(J87,"%","")," ",""))&gt;=100,"Completed","In Progress")),"Not Started")</f>
        <v/>
      </c>
      <c r="J87" s="48" t="n">
        <v>0.4</v>
      </c>
      <c r="K87" s="45" t="inlineStr">
        <is>
          <t>Low</t>
        </is>
      </c>
      <c r="L87" s="49" t="n">
        <v>4200</v>
      </c>
      <c r="M87" s="45" t="n">
        <v>140</v>
      </c>
      <c r="N87" s="49">
        <f>IF(OR(L87="",H87=""),"",L87*H87)</f>
        <v/>
      </c>
      <c r="O87" s="45" t="inlineStr">
        <is>
          <t>Check formula</t>
        </is>
      </c>
      <c r="P87" s="45">
        <f>IFERROR(IF(VALUE(SUBSTITUTE(SUBSTITUTE(J87,"%","")," ",""))&gt;=100,"Completed",IF(VALUE(SUBSTITUTE(SUBSTITUTE(J87,"%","")," ",""))&lt;=0,"Not Started","In Progress")),"Not Started")</f>
        <v/>
      </c>
      <c r="Q87" s="45" t="n"/>
      <c r="R87" s="45" t="n"/>
    </row>
    <row r="88" ht="15" customHeight="1" s="203">
      <c r="A88" s="55" t="n">
        <v>85</v>
      </c>
      <c r="B88" s="56" t="inlineStr">
        <is>
          <t>Handle Missing Values — Customer Database</t>
        </is>
      </c>
      <c r="C88" s="55" t="inlineStr">
        <is>
          <t>Phase 1</t>
        </is>
      </c>
      <c r="D88" s="55" t="inlineStr">
        <is>
          <t>Siddharth Rao</t>
        </is>
      </c>
      <c r="E88" s="55" t="inlineStr">
        <is>
          <t>PMO</t>
        </is>
      </c>
      <c r="F88" s="57" t="n">
        <v>45394</v>
      </c>
      <c r="G88" s="57" t="n">
        <v>45408</v>
      </c>
      <c r="H88" s="55">
        <f>IF(OR(F88="",G88=""),"",G88-F88)</f>
        <v/>
      </c>
      <c r="I88" s="55">
        <f>IFERROR(IF(VALUE(SUBSTITUTE(SUBSTITUTE(J88,"%","")," ",""))&lt;=0,"Not Started",IF(VALUE(SUBSTITUTE(SUBSTITUTE(J88,"%","")," ",""))&gt;=100,"Completed","In Progress")),"Not Started")</f>
        <v/>
      </c>
      <c r="J88" s="58" t="n">
        <v>0.75</v>
      </c>
      <c r="K88" s="55" t="inlineStr">
        <is>
          <t>Low</t>
        </is>
      </c>
      <c r="L88" s="59" t="n">
        <v>5000</v>
      </c>
      <c r="M88" s="55" t="n">
        <v>100</v>
      </c>
      <c r="N88" s="59">
        <f>IF(OR(L88="",H88=""),"",L88*H88)</f>
        <v/>
      </c>
      <c r="O88" s="55" t="inlineStr">
        <is>
          <t>—</t>
        </is>
      </c>
      <c r="P88" s="55">
        <f>IFERROR(IF(VALUE(SUBSTITUTE(SUBSTITUTE(J88,"%","")," ",""))&gt;=100,"Completed",IF(VALUE(SUBSTITUTE(SUBSTITUTE(J88,"%","")," ",""))&lt;=0,"Not Started","In Progress")),"Not Started")</f>
        <v/>
      </c>
      <c r="Q88" s="55" t="n"/>
      <c r="R88" s="55" t="n"/>
    </row>
    <row r="89" ht="15" customHeight="1" s="203">
      <c r="A89" s="50" t="n">
        <v>86</v>
      </c>
      <c r="B89" s="51" t="inlineStr">
        <is>
          <t>Split Combined Columns — Contact Database</t>
        </is>
      </c>
      <c r="C89" s="50" t="inlineStr">
        <is>
          <t>Phase 2</t>
        </is>
      </c>
      <c r="D89" s="50" t="inlineStr">
        <is>
          <t>Meera Pillai</t>
        </is>
      </c>
      <c r="E89" s="50" t="inlineStr">
        <is>
          <t>BI &amp; Analytics</t>
        </is>
      </c>
      <c r="F89" s="52" t="n">
        <v>45324</v>
      </c>
      <c r="G89" s="52" t="n">
        <v>45345</v>
      </c>
      <c r="H89" s="50">
        <f>IF(OR(F89="",G89=""),"",G89-F89)</f>
        <v/>
      </c>
      <c r="I89" s="50">
        <f>IFERROR(IF(VALUE(SUBSTITUTE(SUBSTITUTE(J89,"%","")," ",""))&lt;=0,"Not Started",IF(VALUE(SUBSTITUTE(SUBSTITUTE(J89,"%","")," ",""))&gt;=100,"Completed","In Progress")),"Not Started")</f>
        <v/>
      </c>
      <c r="J89" s="53" t="n">
        <v>0.25</v>
      </c>
      <c r="K89" s="50" t="inlineStr">
        <is>
          <t>Medium</t>
        </is>
      </c>
      <c r="L89" s="54" t="n">
        <v>3500</v>
      </c>
      <c r="M89" s="50" t="n">
        <v>0</v>
      </c>
      <c r="N89" s="54">
        <f>IF(OR(L89="",H89=""),"",L89*H89)</f>
        <v/>
      </c>
      <c r="O89" s="50" t="inlineStr">
        <is>
          <t>—</t>
        </is>
      </c>
      <c r="P89" s="50">
        <f>IFERROR(IF(VALUE(SUBSTITUTE(SUBSTITUTE(J89,"%","")," ",""))&gt;=100,"Completed",IF(VALUE(SUBSTITUTE(SUBSTITUTE(J89,"%","")," ",""))&lt;=0,"Not Started","In Progress")),"Not Started")</f>
        <v/>
      </c>
      <c r="Q89" s="50" t="n"/>
      <c r="R89" s="50" t="n"/>
    </row>
    <row r="90" ht="15" customHeight="1" s="203">
      <c r="A90" s="55" t="n">
        <v>87</v>
      </c>
      <c r="B90" s="56" t="inlineStr">
        <is>
          <t>Remove Non-Numeric Chars — Revenue Data</t>
        </is>
      </c>
      <c r="C90" s="55" t="inlineStr">
        <is>
          <t>Phase 3</t>
        </is>
      </c>
      <c r="D90" s="55" t="inlineStr">
        <is>
          <t>Rohit Gupta</t>
        </is>
      </c>
      <c r="E90" s="55" t="inlineStr">
        <is>
          <t>Business Intel.</t>
        </is>
      </c>
      <c r="F90" s="57" t="n">
        <v>45373</v>
      </c>
      <c r="G90" s="57" t="n">
        <v>45394</v>
      </c>
      <c r="H90" s="55">
        <f>IF(OR(F90="",G90=""),"",G90-F90)</f>
        <v/>
      </c>
      <c r="I90" s="55">
        <f>IFERROR(IF(VALUE(SUBSTITUTE(SUBSTITUTE(J90,"%","")," ",""))&lt;=0,"Not Started",IF(VALUE(SUBSTITUTE(SUBSTITUTE(J90,"%","")," ",""))&gt;=100,"Completed","In Progress")),"Not Started")</f>
        <v/>
      </c>
      <c r="J90" s="58" t="n">
        <v>0</v>
      </c>
      <c r="K90" s="55" t="inlineStr">
        <is>
          <t>Critical</t>
        </is>
      </c>
      <c r="L90" s="59" t="n">
        <v>5500</v>
      </c>
      <c r="M90" s="55" t="n">
        <v>140</v>
      </c>
      <c r="N90" s="59">
        <f>IF(OR(L90="",H90=""),"",L90*H90)</f>
        <v/>
      </c>
      <c r="O90" s="55" t="inlineStr">
        <is>
          <t>—</t>
        </is>
      </c>
      <c r="P90" s="55">
        <f>IFERROR(IF(VALUE(SUBSTITUTE(SUBSTITUTE(J90,"%","")," ",""))&gt;=100,"Completed",IF(VALUE(SUBSTITUTE(SUBSTITUTE(J90,"%","")," ",""))&lt;=0,"Not Started","In Progress")),"Not Started")</f>
        <v/>
      </c>
      <c r="Q90" s="55" t="n"/>
      <c r="R90" s="55" t="n"/>
    </row>
    <row r="91" ht="15" customHeight="1" s="203">
      <c r="A91" s="55" t="n">
        <v>88</v>
      </c>
      <c r="B91" s="56" t="inlineStr">
        <is>
          <t>Validate Data Ranges — HR Age Dataset</t>
        </is>
      </c>
      <c r="C91" s="55" t="inlineStr">
        <is>
          <t>Phase 4</t>
        </is>
      </c>
      <c r="D91" s="55" t="inlineStr">
        <is>
          <t>Lakshmi Nair</t>
        </is>
      </c>
      <c r="E91" s="55" t="inlineStr">
        <is>
          <t>Data Platform</t>
        </is>
      </c>
      <c r="F91" s="57" t="n">
        <v>45355</v>
      </c>
      <c r="G91" s="57" t="n">
        <v>45369</v>
      </c>
      <c r="H91" s="55">
        <f>IF(OR(F91="",G91=""),"",G91-F91)</f>
        <v/>
      </c>
      <c r="I91" s="55">
        <f>IFERROR(IF(VALUE(SUBSTITUTE(SUBSTITUTE(J91,"%","")," ",""))&lt;=0,"Not Started",IF(VALUE(SUBSTITUTE(SUBSTITUTE(J91,"%","")," ",""))&gt;=100,"Completed","In Progress")),"Not Started")</f>
        <v/>
      </c>
      <c r="J91" s="58" t="n">
        <v>0.5</v>
      </c>
      <c r="K91" s="55" t="inlineStr">
        <is>
          <t>Critical</t>
        </is>
      </c>
      <c r="L91" s="59" t="n">
        <v>3000</v>
      </c>
      <c r="M91" s="55" t="n">
        <v>60</v>
      </c>
      <c r="N91" s="59">
        <f>IF(OR(L91="",H91=""),"",L91*H91)</f>
        <v/>
      </c>
      <c r="O91" s="55" t="inlineStr">
        <is>
          <t>Check formula</t>
        </is>
      </c>
      <c r="P91" s="55">
        <f>IFERROR(IF(VALUE(SUBSTITUTE(SUBSTITUTE(J91,"%","")," ",""))&gt;=100,"Completed",IF(VALUE(SUBSTITUTE(SUBSTITUTE(J91,"%","")," ",""))&lt;=0,"Not Started","In Progress")),"Not Started")</f>
        <v/>
      </c>
      <c r="Q91" s="55" t="n"/>
      <c r="R91" s="55" t="n"/>
    </row>
    <row r="92" ht="15" customHeight="1" s="203">
      <c r="A92" s="50" t="n">
        <v>89</v>
      </c>
      <c r="B92" s="51" t="inlineStr">
        <is>
          <t>Standardize Category Labels — Product SKU</t>
        </is>
      </c>
      <c r="C92" s="50" t="inlineStr">
        <is>
          <t>Phase 1</t>
        </is>
      </c>
      <c r="D92" s="50" t="inlineStr">
        <is>
          <t>Lakshmi Nair</t>
        </is>
      </c>
      <c r="E92" s="50" t="inlineStr">
        <is>
          <t>Quality Assur.</t>
        </is>
      </c>
      <c r="F92" s="52" t="n">
        <v>45350</v>
      </c>
      <c r="G92" s="52" t="n">
        <v>45364</v>
      </c>
      <c r="H92" s="50">
        <f>IF(OR(F92="",G92=""),"",G92-F92)</f>
        <v/>
      </c>
      <c r="I92" s="50">
        <f>IFERROR(IF(VALUE(SUBSTITUTE(SUBSTITUTE(J92,"%","")," ",""))&lt;=0,"Not Started",IF(VALUE(SUBSTITUTE(SUBSTITUTE(J92,"%","")," ",""))&gt;=100,"Completed","In Progress")),"Not Started")</f>
        <v/>
      </c>
      <c r="J92" s="53" t="n">
        <v>0.4</v>
      </c>
      <c r="K92" s="50" t="inlineStr">
        <is>
          <t>Low</t>
        </is>
      </c>
      <c r="L92" s="54" t="n">
        <v>3000</v>
      </c>
      <c r="M92" s="50" t="n">
        <v>160</v>
      </c>
      <c r="N92" s="54">
        <f>IF(OR(L92="",H92=""),"",L92*H92)</f>
        <v/>
      </c>
      <c r="O92" s="50" t="inlineStr">
        <is>
          <t>Check formula</t>
        </is>
      </c>
      <c r="P92" s="50">
        <f>IFERROR(IF(VALUE(SUBSTITUTE(SUBSTITUTE(J92,"%","")," ",""))&gt;=100,"Completed",IF(VALUE(SUBSTITUTE(SUBSTITUTE(J92,"%","")," ",""))&lt;=0,"Not Started","In Progress")),"Not Started")</f>
        <v/>
      </c>
      <c r="Q92" s="50" t="n"/>
      <c r="R92" s="50" t="n"/>
    </row>
    <row r="93" ht="15" customHeight="1" s="203">
      <c r="A93" s="45" t="n">
        <v>90</v>
      </c>
      <c r="B93" s="46" t="inlineStr">
        <is>
          <t>Combine &amp; Reconcile Columns — Address</t>
        </is>
      </c>
      <c r="C93" s="45" t="inlineStr">
        <is>
          <t>Phase 2</t>
        </is>
      </c>
      <c r="D93" s="45" t="inlineStr">
        <is>
          <t>Rahul Mehta</t>
        </is>
      </c>
      <c r="E93" s="45" t="inlineStr">
        <is>
          <t>PMO</t>
        </is>
      </c>
      <c r="F93" s="47" t="n">
        <v>45407</v>
      </c>
      <c r="G93" s="47" t="n">
        <v>45421</v>
      </c>
      <c r="H93" s="45">
        <f>IF(OR(F93="",G93=""),"",G93-F93)</f>
        <v/>
      </c>
      <c r="I93" s="45">
        <f>IFERROR(IF(VALUE(SUBSTITUTE(SUBSTITUTE(J93,"%","")," ",""))&lt;=0,"Not Started",IF(VALUE(SUBSTITUTE(SUBSTITUTE(J93,"%","")," ",""))&gt;=100,"Completed","In Progress")),"Not Started")</f>
        <v/>
      </c>
      <c r="J93" s="48" t="n">
        <v>0</v>
      </c>
      <c r="K93" s="45" t="inlineStr">
        <is>
          <t>Medium</t>
        </is>
      </c>
      <c r="L93" s="49" t="n">
        <v>4200</v>
      </c>
      <c r="M93" s="45" t="n">
        <v>0</v>
      </c>
      <c r="N93" s="49">
        <f>IF(OR(L93="",H93=""),"",L93*H93)</f>
        <v/>
      </c>
      <c r="O93" s="45" t="inlineStr">
        <is>
          <t>Needs validation</t>
        </is>
      </c>
      <c r="P93" s="45">
        <f>IFERROR(IF(VALUE(SUBSTITUTE(SUBSTITUTE(J93,"%","")," ",""))&gt;=100,"Completed",IF(VALUE(SUBSTITUTE(SUBSTITUTE(J93,"%","")," ",""))&lt;=0,"Not Started","In Progress")),"Not Started")</f>
        <v/>
      </c>
      <c r="Q93" s="45" t="n"/>
      <c r="R93" s="45" t="n"/>
    </row>
    <row r="94" ht="15" customHeight="1" s="203">
      <c r="A94" s="45" t="n">
        <v>91</v>
      </c>
      <c r="B94" s="46" t="inlineStr">
        <is>
          <t>Remove Duplicates — CRM Export Cleaning</t>
        </is>
      </c>
      <c r="C94" s="45" t="inlineStr">
        <is>
          <t>Phase 3</t>
        </is>
      </c>
      <c r="D94" s="45" t="inlineStr">
        <is>
          <t>Rahul Mehta</t>
        </is>
      </c>
      <c r="E94" s="45" t="inlineStr">
        <is>
          <t>BI &amp; Analytics</t>
        </is>
      </c>
      <c r="F94" s="47" t="n">
        <v>45422</v>
      </c>
      <c r="G94" s="47" t="n">
        <v>45434</v>
      </c>
      <c r="H94" s="45">
        <f>IF(OR(F94="",G94=""),"",G94-F94)</f>
        <v/>
      </c>
      <c r="I94" s="45">
        <f>IFERROR(IF(VALUE(SUBSTITUTE(SUBSTITUTE(J94,"%","")," ",""))&lt;=0,"Not Started",IF(VALUE(SUBSTITUTE(SUBSTITUTE(J94,"%","")," ",""))&gt;=100,"Completed","In Progress")),"Not Started")</f>
        <v/>
      </c>
      <c r="J94" s="48" t="n">
        <v>0.75</v>
      </c>
      <c r="K94" s="45" t="inlineStr">
        <is>
          <t>Low</t>
        </is>
      </c>
      <c r="L94" s="49" t="n">
        <v>4000</v>
      </c>
      <c r="M94" s="45" t="n">
        <v>80</v>
      </c>
      <c r="N94" s="49">
        <f>IF(OR(L94="",H94=""),"",L94*H94)</f>
        <v/>
      </c>
      <c r="O94" s="45" t="inlineStr">
        <is>
          <t>Extra spaces detected</t>
        </is>
      </c>
      <c r="P94" s="45">
        <f>IFERROR(IF(VALUE(SUBSTITUTE(SUBSTITUTE(J94,"%","")," ",""))&gt;=100,"Completed",IF(VALUE(SUBSTITUTE(SUBSTITUTE(J94,"%","")," ",""))&lt;=0,"Not Started","In Progress")),"Not Started")</f>
        <v/>
      </c>
      <c r="Q94" s="45" t="n"/>
      <c r="R94" s="45" t="n"/>
    </row>
    <row r="95" ht="15" customHeight="1" s="203">
      <c r="A95" s="45" t="n">
        <v>92</v>
      </c>
      <c r="B95" s="46" t="inlineStr">
        <is>
          <t>Trim Extra Spaces — Customer Name Import</t>
        </is>
      </c>
      <c r="C95" s="45" t="inlineStr">
        <is>
          <t>Phase 4</t>
        </is>
      </c>
      <c r="D95" s="45" t="inlineStr">
        <is>
          <t>Amit Roy</t>
        </is>
      </c>
      <c r="E95" s="45" t="inlineStr">
        <is>
          <t>Business Intel.</t>
        </is>
      </c>
      <c r="F95" s="47" t="n">
        <v>45345</v>
      </c>
      <c r="G95" s="47" t="n">
        <v>45373</v>
      </c>
      <c r="H95" s="45">
        <f>IF(OR(F95="",G95=""),"",G95-F95)</f>
        <v/>
      </c>
      <c r="I95" s="45">
        <f>IFERROR(IF(VALUE(SUBSTITUTE(SUBSTITUTE(J95,"%","")," ",""))&lt;=0,"Not Started",IF(VALUE(SUBSTITUTE(SUBSTITUTE(J95,"%","")," ",""))&gt;=100,"Completed","In Progress")),"Not Started")</f>
        <v/>
      </c>
      <c r="J95" s="48" t="n">
        <v>1</v>
      </c>
      <c r="K95" s="45" t="inlineStr">
        <is>
          <t>Low</t>
        </is>
      </c>
      <c r="L95" s="49" t="n">
        <v>2000</v>
      </c>
      <c r="M95" s="45" t="n">
        <v>120</v>
      </c>
      <c r="N95" s="49">
        <f>IF(OR(L95="",H95=""),"",L95*H95)</f>
        <v/>
      </c>
      <c r="O95" s="45" t="inlineStr">
        <is>
          <t>—</t>
        </is>
      </c>
      <c r="P95" s="45">
        <f>IFERROR(IF(VALUE(SUBSTITUTE(SUBSTITUTE(J95,"%","")," ",""))&gt;=100,"Completed",IF(VALUE(SUBSTITUTE(SUBSTITUTE(J95,"%","")," ",""))&lt;=0,"Not Started","In Progress")),"Not Started")</f>
        <v/>
      </c>
      <c r="Q95" s="45" t="n"/>
      <c r="R95" s="45" t="n"/>
    </row>
    <row r="96" ht="15" customHeight="1" s="203">
      <c r="A96" s="50" t="n">
        <v>93</v>
      </c>
      <c r="B96" s="51" t="inlineStr">
        <is>
          <t>Standardize Text Case — Region Codes</t>
        </is>
      </c>
      <c r="C96" s="50" t="inlineStr">
        <is>
          <t>Phase 1</t>
        </is>
      </c>
      <c r="D96" s="50" t="inlineStr">
        <is>
          <t>Sunita Verma</t>
        </is>
      </c>
      <c r="E96" s="50" t="inlineStr">
        <is>
          <t>Data Platform</t>
        </is>
      </c>
      <c r="F96" s="52" t="n">
        <v>45333</v>
      </c>
      <c r="G96" s="52" t="n">
        <v>45340</v>
      </c>
      <c r="H96" s="50">
        <f>IF(OR(F96="",G96=""),"",G96-F96)</f>
        <v/>
      </c>
      <c r="I96" s="50">
        <f>IFERROR(IF(VALUE(SUBSTITUTE(SUBSTITUTE(J96,"%","")," ",""))&lt;=0,"Not Started",IF(VALUE(SUBSTITUTE(SUBSTITUTE(J96,"%","")," ",""))&gt;=100,"Completed","In Progress")),"Not Started")</f>
        <v/>
      </c>
      <c r="J96" s="53" t="n">
        <v>0.5</v>
      </c>
      <c r="K96" s="50" t="inlineStr">
        <is>
          <t>Critical</t>
        </is>
      </c>
      <c r="L96" s="54" t="n">
        <v>2000</v>
      </c>
      <c r="M96" s="50" t="n">
        <v>100</v>
      </c>
      <c r="N96" s="54">
        <f>IF(OR(L96="",H96=""),"",L96*H96)</f>
        <v/>
      </c>
      <c r="O96" s="50" t="inlineStr">
        <is>
          <t>Needs validation</t>
        </is>
      </c>
      <c r="P96" s="50">
        <f>IFERROR(IF(VALUE(SUBSTITUTE(SUBSTITUTE(J96,"%","")," ",""))&gt;=100,"Completed",IF(VALUE(SUBSTITUTE(SUBSTITUTE(J96,"%","")," ",""))&lt;=0,"Not Started","In Progress")),"Not Started")</f>
        <v/>
      </c>
      <c r="Q96" s="50" t="n"/>
      <c r="R96" s="50" t="n"/>
    </row>
    <row r="97" ht="15" customHeight="1" s="203">
      <c r="A97" s="50" t="n">
        <v>94</v>
      </c>
      <c r="B97" s="51" t="inlineStr">
        <is>
          <t>Fix Date Formats — Legacy System Dates</t>
        </is>
      </c>
      <c r="C97" s="50" t="inlineStr">
        <is>
          <t>Phase 2</t>
        </is>
      </c>
      <c r="D97" s="50" t="inlineStr">
        <is>
          <t>Vikram Nair</t>
        </is>
      </c>
      <c r="E97" s="50" t="inlineStr">
        <is>
          <t>Quality Assur.</t>
        </is>
      </c>
      <c r="F97" s="52" t="n">
        <v>45323</v>
      </c>
      <c r="G97" s="52" t="n">
        <v>45335</v>
      </c>
      <c r="H97" s="50">
        <f>IF(OR(F97="",G97=""),"",G97-F97)</f>
        <v/>
      </c>
      <c r="I97" s="50">
        <f>IFERROR(IF(VALUE(SUBSTITUTE(SUBSTITUTE(J97,"%","")," ",""))&lt;=0,"Not Started",IF(VALUE(SUBSTITUTE(SUBSTITUTE(J97,"%","")," ",""))&gt;=100,"Completed","In Progress")),"Not Started")</f>
        <v/>
      </c>
      <c r="J97" s="53" t="n">
        <v>0.65</v>
      </c>
      <c r="K97" s="50" t="inlineStr">
        <is>
          <t>Low</t>
        </is>
      </c>
      <c r="L97" s="54" t="n">
        <v>3000</v>
      </c>
      <c r="M97" s="50" t="n">
        <v>160</v>
      </c>
      <c r="N97" s="54">
        <f>IF(OR(L97="",H97=""),"",L97*H97)</f>
        <v/>
      </c>
      <c r="O97" s="50" t="inlineStr">
        <is>
          <t>Verified OK</t>
        </is>
      </c>
      <c r="P97" s="50">
        <f>IFERROR(IF(VALUE(SUBSTITUTE(SUBSTITUTE(J97,"%","")," ",""))&gt;=100,"Completed",IF(VALUE(SUBSTITUTE(SUBSTITUTE(J97,"%","")," ",""))&lt;=0,"Not Started","In Progress")),"Not Started")</f>
        <v/>
      </c>
      <c r="Q97" s="50" t="n"/>
      <c r="R97" s="50" t="n"/>
    </row>
    <row r="98" ht="15" customHeight="1" s="203">
      <c r="A98" s="50" t="n">
        <v>95</v>
      </c>
      <c r="B98" s="51" t="inlineStr">
        <is>
          <t>Handle Missing Values — Customer Database</t>
        </is>
      </c>
      <c r="C98" s="50" t="inlineStr">
        <is>
          <t>Phase 3</t>
        </is>
      </c>
      <c r="D98" s="50" t="inlineStr">
        <is>
          <t>Deepa Krishnan</t>
        </is>
      </c>
      <c r="E98" s="50" t="inlineStr">
        <is>
          <t>PMO</t>
        </is>
      </c>
      <c r="F98" s="52" t="n">
        <v>45417</v>
      </c>
      <c r="G98" s="52" t="n">
        <v>45424</v>
      </c>
      <c r="H98" s="50">
        <f>IF(OR(F98="",G98=""),"",G98-F98)</f>
        <v/>
      </c>
      <c r="I98" s="50">
        <f>IFERROR(IF(VALUE(SUBSTITUTE(SUBSTITUTE(J98,"%","")," ",""))&lt;=0,"Not Started",IF(VALUE(SUBSTITUTE(SUBSTITUTE(J98,"%","")," ",""))&gt;=100,"Completed","In Progress")),"Not Started")</f>
        <v/>
      </c>
      <c r="J98" s="53" t="n">
        <v>0</v>
      </c>
      <c r="K98" s="50" t="inlineStr">
        <is>
          <t>Low</t>
        </is>
      </c>
      <c r="L98" s="54" t="n">
        <v>5500</v>
      </c>
      <c r="M98" s="50" t="n">
        <v>140</v>
      </c>
      <c r="N98" s="54">
        <f>IF(OR(L98="",H98=""),"",L98*H98)</f>
        <v/>
      </c>
      <c r="O98" s="50" t="inlineStr">
        <is>
          <t>Needs validation</t>
        </is>
      </c>
      <c r="P98" s="50">
        <f>IFERROR(IF(VALUE(SUBSTITUTE(SUBSTITUTE(J98,"%","")," ",""))&gt;=100,"Completed",IF(VALUE(SUBSTITUTE(SUBSTITUTE(J98,"%","")," ",""))&lt;=0,"Not Started","In Progress")),"Not Started")</f>
        <v/>
      </c>
      <c r="Q98" s="50" t="n"/>
      <c r="R98" s="50" t="n"/>
    </row>
    <row r="99" ht="15" customHeight="1" s="203">
      <c r="A99" s="50" t="n">
        <v>96</v>
      </c>
      <c r="B99" s="51" t="inlineStr">
        <is>
          <t>Split Combined Columns — Contact Database</t>
        </is>
      </c>
      <c r="C99" s="50" t="inlineStr">
        <is>
          <t>Phase 4</t>
        </is>
      </c>
      <c r="D99" s="50" t="inlineStr">
        <is>
          <t>Neha Joshi</t>
        </is>
      </c>
      <c r="E99" s="50" t="inlineStr">
        <is>
          <t>BI &amp; Analytics</t>
        </is>
      </c>
      <c r="F99" s="52" t="n">
        <v>45319</v>
      </c>
      <c r="G99" s="52" t="n">
        <v>45347</v>
      </c>
      <c r="H99" s="50">
        <f>IF(OR(F99="",G99=""),"",G99-F99)</f>
        <v/>
      </c>
      <c r="I99" s="50">
        <f>IFERROR(IF(VALUE(SUBSTITUTE(SUBSTITUTE(J99,"%","")," ",""))&lt;=0,"Not Started",IF(VALUE(SUBSTITUTE(SUBSTITUTE(J99,"%","")," ",""))&gt;=100,"Completed","In Progress")),"Not Started")</f>
        <v/>
      </c>
      <c r="J99" s="53" t="n">
        <v>0.25</v>
      </c>
      <c r="K99" s="50" t="inlineStr">
        <is>
          <t>Critical</t>
        </is>
      </c>
      <c r="L99" s="54" t="n">
        <v>2000</v>
      </c>
      <c r="M99" s="50" t="n">
        <v>80</v>
      </c>
      <c r="N99" s="54">
        <f>IF(OR(L99="",H99=""),"",L99*H99)</f>
        <v/>
      </c>
      <c r="O99" s="50" t="inlineStr">
        <is>
          <t>—</t>
        </is>
      </c>
      <c r="P99" s="50">
        <f>IFERROR(IF(VALUE(SUBSTITUTE(SUBSTITUTE(J99,"%","")," ",""))&gt;=100,"Completed",IF(VALUE(SUBSTITUTE(SUBSTITUTE(J99,"%","")," ",""))&lt;=0,"Not Started","In Progress")),"Not Started")</f>
        <v/>
      </c>
      <c r="Q99" s="50" t="n"/>
      <c r="R99" s="50" t="n"/>
    </row>
    <row r="100" ht="15" customHeight="1" s="203">
      <c r="A100" s="55" t="n">
        <v>97</v>
      </c>
      <c r="B100" s="56" t="inlineStr">
        <is>
          <t>Remove Non-Numeric Chars — Revenue Data</t>
        </is>
      </c>
      <c r="C100" s="55" t="inlineStr">
        <is>
          <t>Phase 1</t>
        </is>
      </c>
      <c r="D100" s="55" t="inlineStr">
        <is>
          <t>Karan Malhotra</t>
        </is>
      </c>
      <c r="E100" s="55" t="inlineStr">
        <is>
          <t>Business Intel.</t>
        </is>
      </c>
      <c r="F100" s="57" t="n">
        <v>45417</v>
      </c>
      <c r="G100" s="57" t="n">
        <v>45431</v>
      </c>
      <c r="H100" s="55">
        <f>IF(OR(F100="",G100=""),"",G100-F100)</f>
        <v/>
      </c>
      <c r="I100" s="55">
        <f>IFERROR(IF(VALUE(SUBSTITUTE(SUBSTITUTE(J100,"%","")," ",""))&lt;=0,"Not Started",IF(VALUE(SUBSTITUTE(SUBSTITUTE(J100,"%","")," ",""))&gt;=100,"Completed","In Progress")),"Not Started")</f>
        <v/>
      </c>
      <c r="J100" s="58" t="n">
        <v>0.5</v>
      </c>
      <c r="K100" s="55" t="inlineStr">
        <is>
          <t>Medium</t>
        </is>
      </c>
      <c r="L100" s="59" t="n">
        <v>4000</v>
      </c>
      <c r="M100" s="55" t="n">
        <v>168</v>
      </c>
      <c r="N100" s="59">
        <f>IF(OR(L100="",H100=""),"",L100*H100)</f>
        <v/>
      </c>
      <c r="O100" s="55" t="inlineStr">
        <is>
          <t>Needs validation</t>
        </is>
      </c>
      <c r="P100" s="55">
        <f>IFERROR(IF(VALUE(SUBSTITUTE(SUBSTITUTE(J100,"%","")," ",""))&gt;=100,"Completed",IF(VALUE(SUBSTITUTE(SUBSTITUTE(J100,"%","")," ",""))&lt;=0,"Not Started","In Progress")),"Not Started")</f>
        <v/>
      </c>
      <c r="Q100" s="55" t="n"/>
      <c r="R100" s="55" t="n"/>
    </row>
    <row r="101" ht="15" customHeight="1" s="203">
      <c r="A101" s="50" t="n">
        <v>98</v>
      </c>
      <c r="B101" s="51" t="inlineStr">
        <is>
          <t>Validate Data Ranges — HR Age Dataset</t>
        </is>
      </c>
      <c r="C101" s="50" t="inlineStr">
        <is>
          <t>Phase 2</t>
        </is>
      </c>
      <c r="D101" s="50" t="inlineStr">
        <is>
          <t>Karan Malhotra</t>
        </is>
      </c>
      <c r="E101" s="50" t="inlineStr">
        <is>
          <t>Data Platform</t>
        </is>
      </c>
      <c r="F101" s="52" t="n">
        <v>45442</v>
      </c>
      <c r="G101" s="52" t="n">
        <v>45452</v>
      </c>
      <c r="H101" s="50">
        <f>IF(OR(F101="",G101=""),"",G101-F101)</f>
        <v/>
      </c>
      <c r="I101" s="50">
        <f>IFERROR(IF(VALUE(SUBSTITUTE(SUBSTITUTE(J101,"%","")," ",""))&lt;=0,"Not Started",IF(VALUE(SUBSTITUTE(SUBSTITUTE(J101,"%","")," ",""))&gt;=100,"Completed","In Progress")),"Not Started")</f>
        <v/>
      </c>
      <c r="J101" s="53" t="n">
        <v>0.4</v>
      </c>
      <c r="K101" s="50" t="inlineStr">
        <is>
          <t>High</t>
        </is>
      </c>
      <c r="L101" s="54" t="n">
        <v>3000</v>
      </c>
      <c r="M101" s="50" t="n">
        <v>80</v>
      </c>
      <c r="N101" s="54">
        <f>IF(OR(L101="",H101=""),"",L101*H101)</f>
        <v/>
      </c>
      <c r="O101" s="50" t="inlineStr">
        <is>
          <t>Check formula</t>
        </is>
      </c>
      <c r="P101" s="50">
        <f>IFERROR(IF(VALUE(SUBSTITUTE(SUBSTITUTE(J101,"%","")," ",""))&gt;=100,"Completed",IF(VALUE(SUBSTITUTE(SUBSTITUTE(J101,"%","")," ",""))&lt;=0,"Not Started","In Progress")),"Not Started")</f>
        <v/>
      </c>
      <c r="Q101" s="50" t="n"/>
      <c r="R101" s="50" t="n"/>
    </row>
    <row r="102" ht="15" customHeight="1" s="203">
      <c r="A102" s="50" t="n">
        <v>99</v>
      </c>
      <c r="B102" s="51" t="inlineStr">
        <is>
          <t>Standardize Category Labels — Product SKU</t>
        </is>
      </c>
      <c r="C102" s="50" t="inlineStr">
        <is>
          <t>Phase 3</t>
        </is>
      </c>
      <c r="D102" s="50" t="inlineStr">
        <is>
          <t>Pooja Iyer</t>
        </is>
      </c>
      <c r="E102" s="50" t="inlineStr">
        <is>
          <t>Quality Assur.</t>
        </is>
      </c>
      <c r="F102" s="52" t="n">
        <v>45321</v>
      </c>
      <c r="G102" s="52" t="n">
        <v>45333</v>
      </c>
      <c r="H102" s="50">
        <f>IF(OR(F102="",G102=""),"",G102-F102)</f>
        <v/>
      </c>
      <c r="I102" s="50">
        <f>IFERROR(IF(VALUE(SUBSTITUTE(SUBSTITUTE(J102,"%","")," ",""))&lt;=0,"Not Started",IF(VALUE(SUBSTITUTE(SUBSTITUTE(J102,"%","")," ",""))&gt;=100,"Completed","In Progress")),"Not Started")</f>
        <v/>
      </c>
      <c r="J102" s="53" t="n">
        <v>0.25</v>
      </c>
      <c r="K102" s="50" t="inlineStr">
        <is>
          <t>Low</t>
        </is>
      </c>
      <c r="L102" s="54" t="n">
        <v>4200</v>
      </c>
      <c r="M102" s="50" t="n">
        <v>168</v>
      </c>
      <c r="N102" s="54">
        <f>IF(OR(L102="",H102=""),"",L102*H102)</f>
        <v/>
      </c>
      <c r="O102" s="50" t="inlineStr">
        <is>
          <t>Check formula</t>
        </is>
      </c>
      <c r="P102" s="50">
        <f>IFERROR(IF(VALUE(SUBSTITUTE(SUBSTITUTE(J102,"%","")," ",""))&gt;=100,"Completed",IF(VALUE(SUBSTITUTE(SUBSTITUTE(J102,"%","")," ",""))&lt;=0,"Not Started","In Progress")),"Not Started")</f>
        <v/>
      </c>
      <c r="Q102" s="50" t="n"/>
      <c r="R102" s="50" t="n"/>
    </row>
    <row r="103" ht="15" customHeight="1" s="203">
      <c r="A103" s="50" t="n">
        <v>100</v>
      </c>
      <c r="B103" s="51" t="inlineStr">
        <is>
          <t>Combine &amp; Reconcile Columns — Address</t>
        </is>
      </c>
      <c r="C103" s="50" t="inlineStr">
        <is>
          <t>Phase 4</t>
        </is>
      </c>
      <c r="D103" s="50" t="inlineStr">
        <is>
          <t>Meera Pillai</t>
        </is>
      </c>
      <c r="E103" s="50" t="inlineStr">
        <is>
          <t>PMO</t>
        </is>
      </c>
      <c r="F103" s="52" t="n">
        <v>45367</v>
      </c>
      <c r="G103" s="52" t="n">
        <v>45388</v>
      </c>
      <c r="H103" s="50">
        <f>IF(OR(F103="",G103=""),"",G103-F103)</f>
        <v/>
      </c>
      <c r="I103" s="50">
        <f>IFERROR(IF(VALUE(SUBSTITUTE(SUBSTITUTE(J103,"%","")," ",""))&lt;=0,"Not Started",IF(VALUE(SUBSTITUTE(SUBSTITUTE(J103,"%","")," ",""))&gt;=100,"Completed","In Progress")),"Not Started")</f>
        <v/>
      </c>
      <c r="J103" s="53" t="n">
        <v>0.65</v>
      </c>
      <c r="K103" s="50" t="inlineStr">
        <is>
          <t>Critical</t>
        </is>
      </c>
      <c r="L103" s="54" t="n">
        <v>3500</v>
      </c>
      <c r="M103" s="50" t="n">
        <v>60</v>
      </c>
      <c r="N103" s="54">
        <f>IF(OR(L103="",H103=""),"",L103*H103)</f>
        <v/>
      </c>
      <c r="O103" s="50" t="inlineStr">
        <is>
          <t>Needs validation</t>
        </is>
      </c>
      <c r="P103" s="50">
        <f>IFERROR(IF(VALUE(SUBSTITUTE(SUBSTITUTE(J103,"%","")," ",""))&gt;=100,"Completed",IF(VALUE(SUBSTITUTE(SUBSTITUTE(J103,"%","")," ",""))&lt;=0,"Not Started","In Progress")),"Not Started")</f>
        <v/>
      </c>
      <c r="Q103" s="50" t="n"/>
      <c r="R103" s="50" t="n"/>
    </row>
    <row r="104" ht="15" customHeight="1" s="203">
      <c r="A104" s="50" t="n">
        <v>101</v>
      </c>
      <c r="B104" s="51" t="inlineStr">
        <is>
          <t>Remove Duplicates — CRM Export Cleaning</t>
        </is>
      </c>
      <c r="C104" s="50" t="inlineStr">
        <is>
          <t>Phase 1</t>
        </is>
      </c>
      <c r="D104" s="50" t="inlineStr">
        <is>
          <t>Siddharth Rao</t>
        </is>
      </c>
      <c r="E104" s="50" t="inlineStr">
        <is>
          <t>BI &amp; Analytics</t>
        </is>
      </c>
      <c r="F104" s="52" t="n">
        <v>45339</v>
      </c>
      <c r="G104" s="52" t="n">
        <v>45360</v>
      </c>
      <c r="H104" s="50">
        <f>IF(OR(F104="",G104=""),"",G104-F104)</f>
        <v/>
      </c>
      <c r="I104" s="50">
        <f>IFERROR(IF(VALUE(SUBSTITUTE(SUBSTITUTE(J104,"%","")," ",""))&lt;=0,"Not Started",IF(VALUE(SUBSTITUTE(SUBSTITUTE(J104,"%","")," ",""))&gt;=100,"Completed","In Progress")),"Not Started")</f>
        <v/>
      </c>
      <c r="J104" s="53" t="n">
        <v>0.25</v>
      </c>
      <c r="K104" s="50" t="inlineStr">
        <is>
          <t>High</t>
        </is>
      </c>
      <c r="L104" s="54" t="n">
        <v>5000</v>
      </c>
      <c r="M104" s="50" t="n">
        <v>100</v>
      </c>
      <c r="N104" s="54">
        <f>IF(OR(L104="",H104=""),"",L104*H104)</f>
        <v/>
      </c>
      <c r="O104" s="50" t="inlineStr">
        <is>
          <t>Check formula</t>
        </is>
      </c>
      <c r="P104" s="50">
        <f>IFERROR(IF(VALUE(SUBSTITUTE(SUBSTITUTE(J104,"%","")," ",""))&gt;=100,"Completed",IF(VALUE(SUBSTITUTE(SUBSTITUTE(J104,"%","")," ",""))&lt;=0,"Not Started","In Progress")),"Not Started")</f>
        <v/>
      </c>
      <c r="Q104" s="50" t="n"/>
      <c r="R104" s="50" t="n"/>
    </row>
    <row r="105" ht="15" customHeight="1" s="203">
      <c r="A105" s="55" t="n">
        <v>102</v>
      </c>
      <c r="B105" s="56" t="inlineStr">
        <is>
          <t>Trim Extra Spaces — Customer Name Import</t>
        </is>
      </c>
      <c r="C105" s="55" t="inlineStr">
        <is>
          <t>Phase 2</t>
        </is>
      </c>
      <c r="D105" s="55" t="inlineStr">
        <is>
          <t>Rohit Gupta</t>
        </is>
      </c>
      <c r="E105" s="55" t="inlineStr">
        <is>
          <t>Business Intel.</t>
        </is>
      </c>
      <c r="F105" s="57" t="n">
        <v>45292</v>
      </c>
      <c r="G105" s="57" t="n">
        <v>45320</v>
      </c>
      <c r="H105" s="55">
        <f>IF(OR(F105="",G105=""),"",G105-F105)</f>
        <v/>
      </c>
      <c r="I105" s="55">
        <f>IFERROR(IF(VALUE(SUBSTITUTE(SUBSTITUTE(J105,"%","")," ",""))&lt;=0,"Not Started",IF(VALUE(SUBSTITUTE(SUBSTITUTE(J105,"%","")," ",""))&gt;=100,"Completed","In Progress")),"Not Started")</f>
        <v/>
      </c>
      <c r="J105" s="58" t="n">
        <v>0.4</v>
      </c>
      <c r="K105" s="55" t="inlineStr">
        <is>
          <t>Medium</t>
        </is>
      </c>
      <c r="L105" s="59" t="n">
        <v>5500</v>
      </c>
      <c r="M105" s="55" t="n">
        <v>168</v>
      </c>
      <c r="N105" s="59">
        <f>IF(OR(L105="",H105=""),"",L105*H105)</f>
        <v/>
      </c>
      <c r="O105" s="55" t="inlineStr">
        <is>
          <t>Needs validation</t>
        </is>
      </c>
      <c r="P105" s="55">
        <f>IFERROR(IF(VALUE(SUBSTITUTE(SUBSTITUTE(J105,"%","")," ",""))&gt;=100,"Completed",IF(VALUE(SUBSTITUTE(SUBSTITUTE(J105,"%","")," ",""))&lt;=0,"Not Started","In Progress")),"Not Started")</f>
        <v/>
      </c>
      <c r="Q105" s="55" t="n"/>
      <c r="R105" s="55" t="n"/>
    </row>
    <row r="106" ht="15" customHeight="1" s="203">
      <c r="A106" s="45" t="n">
        <v>103</v>
      </c>
      <c r="B106" s="46" t="inlineStr">
        <is>
          <t>Standardize Text Case — Region Codes</t>
        </is>
      </c>
      <c r="C106" s="45" t="inlineStr">
        <is>
          <t>Phase 3</t>
        </is>
      </c>
      <c r="D106" s="45" t="inlineStr">
        <is>
          <t>Lakshmi Nair</t>
        </is>
      </c>
      <c r="E106" s="45" t="inlineStr">
        <is>
          <t>Data Platform</t>
        </is>
      </c>
      <c r="F106" s="47" t="n">
        <v>45298</v>
      </c>
      <c r="G106" s="47" t="n">
        <v>45308</v>
      </c>
      <c r="H106" s="45">
        <f>IF(OR(F106="",G106=""),"",G106-F106)</f>
        <v/>
      </c>
      <c r="I106" s="45">
        <f>IFERROR(IF(VALUE(SUBSTITUTE(SUBSTITUTE(J106,"%","")," ",""))&lt;=0,"Not Started",IF(VALUE(SUBSTITUTE(SUBSTITUTE(J106,"%","")," ",""))&gt;=100,"Completed","In Progress")),"Not Started")</f>
        <v/>
      </c>
      <c r="J106" s="48" t="n">
        <v>0.5</v>
      </c>
      <c r="K106" s="45" t="inlineStr">
        <is>
          <t>Critical</t>
        </is>
      </c>
      <c r="L106" s="49" t="n">
        <v>3500</v>
      </c>
      <c r="M106" s="45" t="n">
        <v>120</v>
      </c>
      <c r="N106" s="49">
        <f>IF(OR(L106="",H106=""),"",L106*H106)</f>
        <v/>
      </c>
      <c r="O106" s="45" t="inlineStr">
        <is>
          <t>Check formula</t>
        </is>
      </c>
      <c r="P106" s="45">
        <f>IFERROR(IF(VALUE(SUBSTITUTE(SUBSTITUTE(J106,"%","")," ",""))&gt;=100,"Completed",IF(VALUE(SUBSTITUTE(SUBSTITUTE(J106,"%","")," ",""))&lt;=0,"Not Started","In Progress")),"Not Started")</f>
        <v/>
      </c>
      <c r="Q106" s="45" t="n"/>
      <c r="R106" s="45" t="n"/>
    </row>
    <row r="107" ht="15" customHeight="1" s="203">
      <c r="A107" s="45" t="n">
        <v>104</v>
      </c>
      <c r="B107" s="46" t="inlineStr">
        <is>
          <t>Fix Date Formats — Legacy System Dates</t>
        </is>
      </c>
      <c r="C107" s="45" t="inlineStr">
        <is>
          <t>Phase 4</t>
        </is>
      </c>
      <c r="D107" s="45" t="inlineStr">
        <is>
          <t>Rohit Gupta</t>
        </is>
      </c>
      <c r="E107" s="45" t="inlineStr">
        <is>
          <t>Quality Assur.</t>
        </is>
      </c>
      <c r="F107" s="47" t="n">
        <v>45296</v>
      </c>
      <c r="G107" s="47" t="n">
        <v>45317</v>
      </c>
      <c r="H107" s="45">
        <f>IF(OR(F107="",G107=""),"",G107-F107)</f>
        <v/>
      </c>
      <c r="I107" s="45">
        <f>IFERROR(IF(VALUE(SUBSTITUTE(SUBSTITUTE(J107,"%","")," ",""))&lt;=0,"Not Started",IF(VALUE(SUBSTITUTE(SUBSTITUTE(J107,"%","")," ",""))&gt;=100,"Completed","In Progress")),"Not Started")</f>
        <v/>
      </c>
      <c r="J107" s="48" t="n">
        <v>0.25</v>
      </c>
      <c r="K107" s="45" t="inlineStr">
        <is>
          <t>High</t>
        </is>
      </c>
      <c r="L107" s="49" t="n">
        <v>4200</v>
      </c>
      <c r="M107" s="45" t="n">
        <v>60</v>
      </c>
      <c r="N107" s="49">
        <f>IF(OR(L107="",H107=""),"",L107*H107)</f>
        <v/>
      </c>
      <c r="O107" s="45" t="inlineStr">
        <is>
          <t>Check formula</t>
        </is>
      </c>
      <c r="P107" s="45">
        <f>IFERROR(IF(VALUE(SUBSTITUTE(SUBSTITUTE(J107,"%","")," ",""))&gt;=100,"Completed",IF(VALUE(SUBSTITUTE(SUBSTITUTE(J107,"%","")," ",""))&lt;=0,"Not Started","In Progress")),"Not Started")</f>
        <v/>
      </c>
      <c r="Q107" s="45" t="n"/>
      <c r="R107" s="45" t="n"/>
    </row>
    <row r="108" ht="15" customHeight="1" s="203">
      <c r="A108" s="50" t="n">
        <v>105</v>
      </c>
      <c r="B108" s="51" t="inlineStr">
        <is>
          <t>Handle Missing Values — Customer Database</t>
        </is>
      </c>
      <c r="C108" s="50" t="inlineStr">
        <is>
          <t>Phase 1</t>
        </is>
      </c>
      <c r="D108" s="50" t="inlineStr">
        <is>
          <t>Priya Sharma</t>
        </is>
      </c>
      <c r="E108" s="50" t="inlineStr">
        <is>
          <t>PMO</t>
        </is>
      </c>
      <c r="F108" s="52" t="n">
        <v>45341</v>
      </c>
      <c r="G108" s="52" t="n">
        <v>45362</v>
      </c>
      <c r="H108" s="50">
        <f>IF(OR(F108="",G108=""),"",G108-F108)</f>
        <v/>
      </c>
      <c r="I108" s="50">
        <f>IFERROR(IF(VALUE(SUBSTITUTE(SUBSTITUTE(J108,"%","")," ",""))&lt;=0,"Not Started",IF(VALUE(SUBSTITUTE(SUBSTITUTE(J108,"%","")," ",""))&gt;=100,"Completed","In Progress")),"Not Started")</f>
        <v/>
      </c>
      <c r="J108" s="53" t="n">
        <v>0.75</v>
      </c>
      <c r="K108" s="50" t="inlineStr">
        <is>
          <t>Medium</t>
        </is>
      </c>
      <c r="L108" s="54" t="n">
        <v>5000</v>
      </c>
      <c r="M108" s="50" t="n">
        <v>80</v>
      </c>
      <c r="N108" s="54">
        <f>IF(OR(L108="",H108=""),"",L108*H108)</f>
        <v/>
      </c>
      <c r="O108" s="50" t="inlineStr">
        <is>
          <t>—</t>
        </is>
      </c>
      <c r="P108" s="50">
        <f>IFERROR(IF(VALUE(SUBSTITUTE(SUBSTITUTE(J108,"%","")," ",""))&gt;=100,"Completed",IF(VALUE(SUBSTITUTE(SUBSTITUTE(J108,"%","")," ",""))&lt;=0,"Not Started","In Progress")),"Not Started")</f>
        <v/>
      </c>
      <c r="Q108" s="50" t="n"/>
      <c r="R108" s="50" t="n"/>
    </row>
    <row r="109" ht="15" customHeight="1" s="203">
      <c r="A109" s="50" t="n">
        <v>106</v>
      </c>
      <c r="B109" s="51" t="inlineStr">
        <is>
          <t>Split Combined Columns — Contact Database</t>
        </is>
      </c>
      <c r="C109" s="50" t="inlineStr">
        <is>
          <t>Phase 2</t>
        </is>
      </c>
      <c r="D109" s="50" t="inlineStr">
        <is>
          <t>Amit Roy</t>
        </is>
      </c>
      <c r="E109" s="50" t="inlineStr">
        <is>
          <t>BI &amp; Analytics</t>
        </is>
      </c>
      <c r="F109" s="52" t="n">
        <v>45310</v>
      </c>
      <c r="G109" s="52" t="n">
        <v>45317</v>
      </c>
      <c r="H109" s="50">
        <f>IF(OR(F109="",G109=""),"",G109-F109)</f>
        <v/>
      </c>
      <c r="I109" s="50">
        <f>IFERROR(IF(VALUE(SUBSTITUTE(SUBSTITUTE(J109,"%","")," ",""))&lt;=0,"Not Started",IF(VALUE(SUBSTITUTE(SUBSTITUTE(J109,"%","")," ",""))&gt;=100,"Completed","In Progress")),"Not Started")</f>
        <v/>
      </c>
      <c r="J109" s="53" t="n">
        <v>0</v>
      </c>
      <c r="K109" s="50" t="inlineStr">
        <is>
          <t>Low</t>
        </is>
      </c>
      <c r="L109" s="54" t="n">
        <v>3500</v>
      </c>
      <c r="M109" s="50" t="n">
        <v>120</v>
      </c>
      <c r="N109" s="54">
        <f>IF(OR(L109="",H109=""),"",L109*H109)</f>
        <v/>
      </c>
      <c r="O109" s="50" t="inlineStr">
        <is>
          <t>Verified OK</t>
        </is>
      </c>
      <c r="P109" s="50">
        <f>IFERROR(IF(VALUE(SUBSTITUTE(SUBSTITUTE(J109,"%","")," ",""))&gt;=100,"Completed",IF(VALUE(SUBSTITUTE(SUBSTITUTE(J109,"%","")," ",""))&lt;=0,"Not Started","In Progress")),"Not Started")</f>
        <v/>
      </c>
      <c r="Q109" s="50" t="n"/>
      <c r="R109" s="50" t="n"/>
    </row>
    <row r="110" ht="15" customHeight="1" s="203">
      <c r="A110" s="55" t="n">
        <v>107</v>
      </c>
      <c r="B110" s="56" t="inlineStr">
        <is>
          <t>Remove Non-Numeric Chars — Revenue Data</t>
        </is>
      </c>
      <c r="C110" s="55" t="inlineStr">
        <is>
          <t>Phase 3</t>
        </is>
      </c>
      <c r="D110" s="55" t="inlineStr">
        <is>
          <t>Amit Roy</t>
        </is>
      </c>
      <c r="E110" s="55" t="inlineStr">
        <is>
          <t>Business Intel.</t>
        </is>
      </c>
      <c r="F110" s="57" t="n">
        <v>45401</v>
      </c>
      <c r="G110" s="57" t="n">
        <v>45429</v>
      </c>
      <c r="H110" s="55">
        <f>IF(OR(F110="",G110=""),"",G110-F110)</f>
        <v/>
      </c>
      <c r="I110" s="55">
        <f>IFERROR(IF(VALUE(SUBSTITUTE(SUBSTITUTE(J110,"%","")," ",""))&lt;=0,"Not Started",IF(VALUE(SUBSTITUTE(SUBSTITUTE(J110,"%","")," ",""))&gt;=100,"Completed","In Progress")),"Not Started")</f>
        <v/>
      </c>
      <c r="J110" s="58" t="n">
        <v>0</v>
      </c>
      <c r="K110" s="55" t="inlineStr">
        <is>
          <t>Low</t>
        </is>
      </c>
      <c r="L110" s="59" t="n">
        <v>5000</v>
      </c>
      <c r="M110" s="55" t="n">
        <v>60</v>
      </c>
      <c r="N110" s="59">
        <f>IF(OR(L110="",H110=""),"",L110*H110)</f>
        <v/>
      </c>
      <c r="O110" s="55" t="inlineStr">
        <is>
          <t>—</t>
        </is>
      </c>
      <c r="P110" s="55">
        <f>IFERROR(IF(VALUE(SUBSTITUTE(SUBSTITUTE(J110,"%","")," ",""))&gt;=100,"Completed",IF(VALUE(SUBSTITUTE(SUBSTITUTE(J110,"%","")," ",""))&lt;=0,"Not Started","In Progress")),"Not Started")</f>
        <v/>
      </c>
      <c r="Q110" s="55" t="n"/>
      <c r="R110" s="55" t="n"/>
    </row>
    <row r="111" ht="15" customHeight="1" s="203">
      <c r="A111" s="45" t="n">
        <v>108</v>
      </c>
      <c r="B111" s="46" t="inlineStr">
        <is>
          <t>Validate Data Ranges — HR Age Dataset</t>
        </is>
      </c>
      <c r="C111" s="45" t="inlineStr">
        <is>
          <t>Phase 4</t>
        </is>
      </c>
      <c r="D111" s="45" t="inlineStr">
        <is>
          <t>Sunita Verma</t>
        </is>
      </c>
      <c r="E111" s="45" t="inlineStr">
        <is>
          <t>Data Platform</t>
        </is>
      </c>
      <c r="F111" s="47" t="n">
        <v>45298</v>
      </c>
      <c r="G111" s="47" t="n">
        <v>45312</v>
      </c>
      <c r="H111" s="45">
        <f>IF(OR(F111="",G111=""),"",G111-F111)</f>
        <v/>
      </c>
      <c r="I111" s="45">
        <f>IFERROR(IF(VALUE(SUBSTITUTE(SUBSTITUTE(J111,"%","")," ",""))&lt;=0,"Not Started",IF(VALUE(SUBSTITUTE(SUBSTITUTE(J111,"%","")," ",""))&gt;=100,"Completed","In Progress")),"Not Started")</f>
        <v/>
      </c>
      <c r="J111" s="48" t="n">
        <v>1</v>
      </c>
      <c r="K111" s="45" t="inlineStr">
        <is>
          <t>Critical</t>
        </is>
      </c>
      <c r="L111" s="49" t="n">
        <v>2000</v>
      </c>
      <c r="M111" s="45" t="n">
        <v>100</v>
      </c>
      <c r="N111" s="49">
        <f>IF(OR(L111="",H111=""),"",L111*H111)</f>
        <v/>
      </c>
      <c r="O111" s="45" t="inlineStr">
        <is>
          <t>—</t>
        </is>
      </c>
      <c r="P111" s="45">
        <f>IFERROR(IF(VALUE(SUBSTITUTE(SUBSTITUTE(J111,"%","")," ",""))&gt;=100,"Completed",IF(VALUE(SUBSTITUTE(SUBSTITUTE(J111,"%","")," ",""))&lt;=0,"Not Started","In Progress")),"Not Started")</f>
        <v/>
      </c>
      <c r="Q111" s="45" t="n"/>
      <c r="R111" s="45" t="n"/>
    </row>
    <row r="112" ht="15" customHeight="1" s="203">
      <c r="A112" s="45" t="n">
        <v>109</v>
      </c>
      <c r="B112" s="46" t="inlineStr">
        <is>
          <t>Standardize Category Labels — Product SKU</t>
        </is>
      </c>
      <c r="C112" s="45" t="inlineStr">
        <is>
          <t>Phase 1</t>
        </is>
      </c>
      <c r="D112" s="45" t="inlineStr">
        <is>
          <t>Sunita Verma</t>
        </is>
      </c>
      <c r="E112" s="45" t="inlineStr">
        <is>
          <t>Quality Assur.</t>
        </is>
      </c>
      <c r="F112" s="47" t="n">
        <v>45414</v>
      </c>
      <c r="G112" s="47" t="n">
        <v>45421</v>
      </c>
      <c r="H112" s="45">
        <f>IF(OR(F112="",G112=""),"",G112-F112)</f>
        <v/>
      </c>
      <c r="I112" s="45">
        <f>IFERROR(IF(VALUE(SUBSTITUTE(SUBSTITUTE(J112,"%","")," ",""))&lt;=0,"Not Started",IF(VALUE(SUBSTITUTE(SUBSTITUTE(J112,"%","")," ",""))&gt;=100,"Completed","In Progress")),"Not Started")</f>
        <v/>
      </c>
      <c r="J112" s="48" t="n">
        <v>0.4</v>
      </c>
      <c r="K112" s="45" t="inlineStr">
        <is>
          <t>Critical</t>
        </is>
      </c>
      <c r="L112" s="49" t="n">
        <v>3000</v>
      </c>
      <c r="M112" s="45" t="n">
        <v>140</v>
      </c>
      <c r="N112" s="49">
        <f>IF(OR(L112="",H112=""),"",L112*H112)</f>
        <v/>
      </c>
      <c r="O112" s="45" t="inlineStr">
        <is>
          <t>—</t>
        </is>
      </c>
      <c r="P112" s="45">
        <f>IFERROR(IF(VALUE(SUBSTITUTE(SUBSTITUTE(J112,"%","")," ",""))&gt;=100,"Completed",IF(VALUE(SUBSTITUTE(SUBSTITUTE(J112,"%","")," ",""))&lt;=0,"Not Started","In Progress")),"Not Started")</f>
        <v/>
      </c>
      <c r="Q112" s="45" t="n"/>
      <c r="R112" s="45" t="n"/>
    </row>
    <row r="113" ht="15" customHeight="1" s="203">
      <c r="A113" s="45" t="n">
        <v>110</v>
      </c>
      <c r="B113" s="46" t="inlineStr">
        <is>
          <t>Combine &amp; Reconcile Columns — Address</t>
        </is>
      </c>
      <c r="C113" s="45" t="inlineStr">
        <is>
          <t>Phase 2</t>
        </is>
      </c>
      <c r="D113" s="45" t="inlineStr">
        <is>
          <t>Arjun Pillai</t>
        </is>
      </c>
      <c r="E113" s="45" t="inlineStr">
        <is>
          <t>PMO</t>
        </is>
      </c>
      <c r="F113" s="47" t="n">
        <v>45300</v>
      </c>
      <c r="G113" s="47" t="n">
        <v>45307</v>
      </c>
      <c r="H113" s="45">
        <f>IF(OR(F113="",G113=""),"",G113-F113)</f>
        <v/>
      </c>
      <c r="I113" s="45">
        <f>IFERROR(IF(VALUE(SUBSTITUTE(SUBSTITUTE(J113,"%","")," ",""))&lt;=0,"Not Started",IF(VALUE(SUBSTITUTE(SUBSTITUTE(J113,"%","")," ",""))&gt;=100,"Completed","In Progress")),"Not Started")</f>
        <v/>
      </c>
      <c r="J113" s="48" t="n">
        <v>1</v>
      </c>
      <c r="K113" s="45" t="inlineStr">
        <is>
          <t>High</t>
        </is>
      </c>
      <c r="L113" s="49" t="n">
        <v>2000</v>
      </c>
      <c r="M113" s="45" t="n">
        <v>160</v>
      </c>
      <c r="N113" s="49">
        <f>IF(OR(L113="",H113=""),"",L113*H113)</f>
        <v/>
      </c>
      <c r="O113" s="45" t="inlineStr">
        <is>
          <t>Verified OK</t>
        </is>
      </c>
      <c r="P113" s="45">
        <f>IFERROR(IF(VALUE(SUBSTITUTE(SUBSTITUTE(J113,"%","")," ",""))&gt;=100,"Completed",IF(VALUE(SUBSTITUTE(SUBSTITUTE(J113,"%","")," ",""))&lt;=0,"Not Started","In Progress")),"Not Started")</f>
        <v/>
      </c>
      <c r="Q113" s="45" t="n"/>
      <c r="R113" s="45" t="n"/>
    </row>
    <row r="114" ht="15" customHeight="1" s="203">
      <c r="A114" s="45" t="n">
        <v>111</v>
      </c>
      <c r="B114" s="46" t="inlineStr">
        <is>
          <t>Remove Duplicates — CRM Export Cleaning</t>
        </is>
      </c>
      <c r="C114" s="45" t="inlineStr">
        <is>
          <t>Phase 3</t>
        </is>
      </c>
      <c r="D114" s="45" t="inlineStr">
        <is>
          <t>Deepa Krishnan</t>
        </is>
      </c>
      <c r="E114" s="45" t="inlineStr">
        <is>
          <t>BI &amp; Analytics</t>
        </is>
      </c>
      <c r="F114" s="47" t="n">
        <v>45421</v>
      </c>
      <c r="G114" s="47" t="n">
        <v>45442</v>
      </c>
      <c r="H114" s="45">
        <f>IF(OR(F114="",G114=""),"",G114-F114)</f>
        <v/>
      </c>
      <c r="I114" s="45">
        <f>IFERROR(IF(VALUE(SUBSTITUTE(SUBSTITUTE(J114,"%","")," ",""))&lt;=0,"Not Started",IF(VALUE(SUBSTITUTE(SUBSTITUTE(J114,"%","")," ",""))&gt;=100,"Completed","In Progress")),"Not Started")</f>
        <v/>
      </c>
      <c r="J114" s="48" t="n">
        <v>0</v>
      </c>
      <c r="K114" s="45" t="inlineStr">
        <is>
          <t>Critical</t>
        </is>
      </c>
      <c r="L114" s="49" t="n">
        <v>3000</v>
      </c>
      <c r="M114" s="45" t="n">
        <v>60</v>
      </c>
      <c r="N114" s="49">
        <f>IF(OR(L114="",H114=""),"",L114*H114)</f>
        <v/>
      </c>
      <c r="O114" s="45" t="inlineStr">
        <is>
          <t>—</t>
        </is>
      </c>
      <c r="P114" s="45">
        <f>IFERROR(IF(VALUE(SUBSTITUTE(SUBSTITUTE(J114,"%","")," ",""))&gt;=100,"Completed",IF(VALUE(SUBSTITUTE(SUBSTITUTE(J114,"%","")," ",""))&lt;=0,"Not Started","In Progress")),"Not Started")</f>
        <v/>
      </c>
      <c r="Q114" s="45" t="n"/>
      <c r="R114" s="45" t="n"/>
    </row>
    <row r="115" ht="15" customHeight="1" s="203">
      <c r="A115" s="50" t="n">
        <v>112</v>
      </c>
      <c r="B115" s="51" t="inlineStr">
        <is>
          <t>Trim Extra Spaces — Customer Name Import</t>
        </is>
      </c>
      <c r="C115" s="50" t="inlineStr">
        <is>
          <t>Phase 4</t>
        </is>
      </c>
      <c r="D115" s="50" t="inlineStr">
        <is>
          <t>Neha Joshi</t>
        </is>
      </c>
      <c r="E115" s="50" t="inlineStr">
        <is>
          <t>Business Intel.</t>
        </is>
      </c>
      <c r="F115" s="52" t="n">
        <v>45361</v>
      </c>
      <c r="G115" s="52" t="n">
        <v>45375</v>
      </c>
      <c r="H115" s="50">
        <f>IF(OR(F115="",G115=""),"",G115-F115)</f>
        <v/>
      </c>
      <c r="I115" s="50">
        <f>IFERROR(IF(VALUE(SUBSTITUTE(SUBSTITUTE(J115,"%","")," ",""))&lt;=0,"Not Started",IF(VALUE(SUBSTITUTE(SUBSTITUTE(J115,"%","")," ",""))&gt;=100,"Completed","In Progress")),"Not Started")</f>
        <v/>
      </c>
      <c r="J115" s="53" t="n">
        <v>1</v>
      </c>
      <c r="K115" s="50" t="inlineStr">
        <is>
          <t>Critical</t>
        </is>
      </c>
      <c r="L115" s="54" t="n">
        <v>5500</v>
      </c>
      <c r="M115" s="50" t="n">
        <v>80</v>
      </c>
      <c r="N115" s="54">
        <f>IF(OR(L115="",H115=""),"",L115*H115)</f>
        <v/>
      </c>
      <c r="O115" s="50" t="inlineStr">
        <is>
          <t>Pending review</t>
        </is>
      </c>
      <c r="P115" s="50">
        <f>IFERROR(IF(VALUE(SUBSTITUTE(SUBSTITUTE(J115,"%","")," ",""))&gt;=100,"Completed",IF(VALUE(SUBSTITUTE(SUBSTITUTE(J115,"%","")," ",""))&lt;=0,"Not Started","In Progress")),"Not Started")</f>
        <v/>
      </c>
      <c r="Q115" s="50" t="n"/>
      <c r="R115" s="50" t="n"/>
    </row>
    <row r="116" ht="15" customHeight="1" s="203">
      <c r="A116" s="45" t="n">
        <v>113</v>
      </c>
      <c r="B116" s="46" t="inlineStr">
        <is>
          <t>Standardize Text Case — Region Codes</t>
        </is>
      </c>
      <c r="C116" s="45" t="inlineStr">
        <is>
          <t>Phase 1</t>
        </is>
      </c>
      <c r="D116" s="45" t="inlineStr">
        <is>
          <t>Neha Joshi</t>
        </is>
      </c>
      <c r="E116" s="45" t="inlineStr">
        <is>
          <t>Data Platform</t>
        </is>
      </c>
      <c r="F116" s="47" t="n">
        <v>45420</v>
      </c>
      <c r="G116" s="47" t="n">
        <v>45448</v>
      </c>
      <c r="H116" s="45">
        <f>IF(OR(F116="",G116=""),"",G116-F116)</f>
        <v/>
      </c>
      <c r="I116" s="45">
        <f>IFERROR(IF(VALUE(SUBSTITUTE(SUBSTITUTE(J116,"%","")," ",""))&lt;=0,"Not Started",IF(VALUE(SUBSTITUTE(SUBSTITUTE(J116,"%","")," ",""))&gt;=100,"Completed","In Progress")),"Not Started")</f>
        <v/>
      </c>
      <c r="J116" s="48" t="n">
        <v>0.75</v>
      </c>
      <c r="K116" s="45" t="inlineStr">
        <is>
          <t>Low</t>
        </is>
      </c>
      <c r="L116" s="49" t="n">
        <v>5000</v>
      </c>
      <c r="M116" s="45" t="n">
        <v>140</v>
      </c>
      <c r="N116" s="49">
        <f>IF(OR(L116="",H116=""),"",L116*H116)</f>
        <v/>
      </c>
      <c r="O116" s="45" t="inlineStr">
        <is>
          <t>Verified OK</t>
        </is>
      </c>
      <c r="P116" s="45">
        <f>IFERROR(IF(VALUE(SUBSTITUTE(SUBSTITUTE(J116,"%","")," ",""))&gt;=100,"Completed",IF(VALUE(SUBSTITUTE(SUBSTITUTE(J116,"%","")," ",""))&lt;=0,"Not Started","In Progress")),"Not Started")</f>
        <v/>
      </c>
      <c r="Q116" s="45" t="n"/>
      <c r="R116" s="45" t="n"/>
    </row>
    <row r="117" ht="15" customHeight="1" s="203">
      <c r="A117" s="50" t="n">
        <v>114</v>
      </c>
      <c r="B117" s="51" t="inlineStr">
        <is>
          <t>Fix Date Formats — Legacy System Dates</t>
        </is>
      </c>
      <c r="C117" s="50" t="inlineStr">
        <is>
          <t>Phase 2</t>
        </is>
      </c>
      <c r="D117" s="50" t="inlineStr">
        <is>
          <t>Siddharth Rao</t>
        </is>
      </c>
      <c r="E117" s="50" t="inlineStr">
        <is>
          <t>Quality Assur.</t>
        </is>
      </c>
      <c r="F117" s="52" t="n">
        <v>45408</v>
      </c>
      <c r="G117" s="52" t="n">
        <v>45422</v>
      </c>
      <c r="H117" s="50">
        <f>IF(OR(F117="",G117=""),"",G117-F117)</f>
        <v/>
      </c>
      <c r="I117" s="50">
        <f>IFERROR(IF(VALUE(SUBSTITUTE(SUBSTITUTE(J117,"%","")," ",""))&lt;=0,"Not Started",IF(VALUE(SUBSTITUTE(SUBSTITUTE(J117,"%","")," ",""))&gt;=100,"Completed","In Progress")),"Not Started")</f>
        <v/>
      </c>
      <c r="J117" s="53" t="n">
        <v>0.65</v>
      </c>
      <c r="K117" s="50" t="inlineStr">
        <is>
          <t>Medium</t>
        </is>
      </c>
      <c r="L117" s="54" t="n">
        <v>4000</v>
      </c>
      <c r="M117" s="50" t="n">
        <v>60</v>
      </c>
      <c r="N117" s="54">
        <f>IF(OR(L117="",H117=""),"",L117*H117)</f>
        <v/>
      </c>
      <c r="O117" s="50" t="inlineStr">
        <is>
          <t>—</t>
        </is>
      </c>
      <c r="P117" s="50">
        <f>IFERROR(IF(VALUE(SUBSTITUTE(SUBSTITUTE(J117,"%","")," ",""))&gt;=100,"Completed",IF(VALUE(SUBSTITUTE(SUBSTITUTE(J117,"%","")," ",""))&lt;=0,"Not Started","In Progress")),"Not Started")</f>
        <v/>
      </c>
      <c r="Q117" s="50" t="n"/>
      <c r="R117" s="50" t="n"/>
    </row>
    <row r="118" ht="15" customHeight="1" s="203">
      <c r="A118" s="50" t="n">
        <v>115</v>
      </c>
      <c r="B118" s="51" t="inlineStr">
        <is>
          <t>Handle Missing Values — Customer Database</t>
        </is>
      </c>
      <c r="C118" s="50" t="inlineStr">
        <is>
          <t>Phase 3</t>
        </is>
      </c>
      <c r="D118" s="50" t="inlineStr">
        <is>
          <t>Pooja Iyer</t>
        </is>
      </c>
      <c r="E118" s="50" t="inlineStr">
        <is>
          <t>PMO</t>
        </is>
      </c>
      <c r="F118" s="52" t="n">
        <v>45441</v>
      </c>
      <c r="G118" s="52" t="n">
        <v>45451</v>
      </c>
      <c r="H118" s="50">
        <f>IF(OR(F118="",G118=""),"",G118-F118)</f>
        <v/>
      </c>
      <c r="I118" s="50">
        <f>IFERROR(IF(VALUE(SUBSTITUTE(SUBSTITUTE(J118,"%","")," ",""))&lt;=0,"Not Started",IF(VALUE(SUBSTITUTE(SUBSTITUTE(J118,"%","")," ",""))&gt;=100,"Completed","In Progress")),"Not Started")</f>
        <v/>
      </c>
      <c r="J118" s="53" t="n">
        <v>0.4</v>
      </c>
      <c r="K118" s="50" t="inlineStr">
        <is>
          <t>Medium</t>
        </is>
      </c>
      <c r="L118" s="54" t="n">
        <v>4200</v>
      </c>
      <c r="M118" s="50" t="n">
        <v>80</v>
      </c>
      <c r="N118" s="54">
        <f>IF(OR(L118="",H118=""),"",L118*H118)</f>
        <v/>
      </c>
      <c r="O118" s="50" t="inlineStr">
        <is>
          <t>Verified OK</t>
        </is>
      </c>
      <c r="P118" s="50">
        <f>IFERROR(IF(VALUE(SUBSTITUTE(SUBSTITUTE(J118,"%","")," ",""))&gt;=100,"Completed",IF(VALUE(SUBSTITUTE(SUBSTITUTE(J118,"%","")," ",""))&lt;=0,"Not Started","In Progress")),"Not Started")</f>
        <v/>
      </c>
      <c r="Q118" s="50" t="n"/>
      <c r="R118" s="50" t="n"/>
    </row>
    <row r="119" ht="15" customHeight="1" s="203">
      <c r="A119" s="50" t="n">
        <v>116</v>
      </c>
      <c r="B119" s="51" t="inlineStr">
        <is>
          <t>Split Combined Columns — Contact Database</t>
        </is>
      </c>
      <c r="C119" s="50" t="inlineStr">
        <is>
          <t>Phase 4</t>
        </is>
      </c>
      <c r="D119" s="50" t="inlineStr">
        <is>
          <t>Ananya Singh</t>
        </is>
      </c>
      <c r="E119" s="50" t="inlineStr">
        <is>
          <t>BI &amp; Analytics</t>
        </is>
      </c>
      <c r="F119" s="52" t="n">
        <v>45362</v>
      </c>
      <c r="G119" s="52" t="n">
        <v>45374</v>
      </c>
      <c r="H119" s="50">
        <f>IF(OR(F119="",G119=""),"",G119-F119)</f>
        <v/>
      </c>
      <c r="I119" s="50">
        <f>IFERROR(IF(VALUE(SUBSTITUTE(SUBSTITUTE(J119,"%","")," ",""))&lt;=0,"Not Started",IF(VALUE(SUBSTITUTE(SUBSTITUTE(J119,"%","")," ",""))&gt;=100,"Completed","In Progress")),"Not Started")</f>
        <v/>
      </c>
      <c r="J119" s="53" t="n">
        <v>1</v>
      </c>
      <c r="K119" s="50" t="inlineStr">
        <is>
          <t>High</t>
        </is>
      </c>
      <c r="L119" s="54" t="n">
        <v>4000</v>
      </c>
      <c r="M119" s="50" t="n">
        <v>80</v>
      </c>
      <c r="N119" s="54">
        <f>IF(OR(L119="",H119=""),"",L119*H119)</f>
        <v/>
      </c>
      <c r="O119" s="50" t="inlineStr">
        <is>
          <t>Check formula</t>
        </is>
      </c>
      <c r="P119" s="50">
        <f>IFERROR(IF(VALUE(SUBSTITUTE(SUBSTITUTE(J119,"%","")," ",""))&gt;=100,"Completed",IF(VALUE(SUBSTITUTE(SUBSTITUTE(J119,"%","")," ",""))&lt;=0,"Not Started","In Progress")),"Not Started")</f>
        <v/>
      </c>
      <c r="Q119" s="50" t="n"/>
      <c r="R119" s="50" t="n"/>
    </row>
    <row r="120" ht="15" customHeight="1" s="203">
      <c r="A120" s="55" t="n">
        <v>117</v>
      </c>
      <c r="B120" s="56" t="inlineStr">
        <is>
          <t>Remove Non-Numeric Chars — Revenue Data</t>
        </is>
      </c>
      <c r="C120" s="55" t="inlineStr">
        <is>
          <t>Phase 1</t>
        </is>
      </c>
      <c r="D120" s="55" t="inlineStr">
        <is>
          <t>Rohit Gupta</t>
        </is>
      </c>
      <c r="E120" s="55" t="inlineStr">
        <is>
          <t>Business Intel.</t>
        </is>
      </c>
      <c r="F120" s="57" t="n">
        <v>45403</v>
      </c>
      <c r="G120" s="57" t="n">
        <v>45415</v>
      </c>
      <c r="H120" s="55">
        <f>IF(OR(F120="",G120=""),"",G120-F120)</f>
        <v/>
      </c>
      <c r="I120" s="55">
        <f>IFERROR(IF(VALUE(SUBSTITUTE(SUBSTITUTE(J120,"%","")," ",""))&lt;=0,"Not Started",IF(VALUE(SUBSTITUTE(SUBSTITUTE(J120,"%","")," ",""))&gt;=100,"Completed","In Progress")),"Not Started")</f>
        <v/>
      </c>
      <c r="J120" s="58" t="n">
        <v>0.5</v>
      </c>
      <c r="K120" s="55" t="inlineStr">
        <is>
          <t>Critical</t>
        </is>
      </c>
      <c r="L120" s="59" t="n">
        <v>4200</v>
      </c>
      <c r="M120" s="55" t="n">
        <v>140</v>
      </c>
      <c r="N120" s="59">
        <f>IF(OR(L120="",H120=""),"",L120*H120)</f>
        <v/>
      </c>
      <c r="O120" s="55" t="inlineStr">
        <is>
          <t>—</t>
        </is>
      </c>
      <c r="P120" s="55">
        <f>IFERROR(IF(VALUE(SUBSTITUTE(SUBSTITUTE(J120,"%","")," ",""))&gt;=100,"Completed",IF(VALUE(SUBSTITUTE(SUBSTITUTE(J120,"%","")," ",""))&lt;=0,"Not Started","In Progress")),"Not Started")</f>
        <v/>
      </c>
      <c r="Q120" s="55" t="n"/>
      <c r="R120" s="55" t="n"/>
    </row>
    <row r="121" ht="15" customHeight="1" s="203">
      <c r="A121" s="45" t="n">
        <v>118</v>
      </c>
      <c r="B121" s="46" t="inlineStr">
        <is>
          <t>Validate Data Ranges — HR Age Dataset</t>
        </is>
      </c>
      <c r="C121" s="45" t="inlineStr">
        <is>
          <t>Phase 2</t>
        </is>
      </c>
      <c r="D121" s="45" t="inlineStr">
        <is>
          <t>Lakshmi Nair</t>
        </is>
      </c>
      <c r="E121" s="45" t="inlineStr">
        <is>
          <t>Data Platform</t>
        </is>
      </c>
      <c r="F121" s="47" t="n">
        <v>45394</v>
      </c>
      <c r="G121" s="47" t="n">
        <v>45408</v>
      </c>
      <c r="H121" s="45">
        <f>IF(OR(F121="",G121=""),"",G121-F121)</f>
        <v/>
      </c>
      <c r="I121" s="45">
        <f>IFERROR(IF(VALUE(SUBSTITUTE(SUBSTITUTE(J121,"%","")," ",""))&lt;=0,"Not Started",IF(VALUE(SUBSTITUTE(SUBSTITUTE(J121,"%","")," ",""))&gt;=100,"Completed","In Progress")),"Not Started")</f>
        <v/>
      </c>
      <c r="J121" s="48" t="n">
        <v>0.4</v>
      </c>
      <c r="K121" s="45" t="inlineStr">
        <is>
          <t>Critical</t>
        </is>
      </c>
      <c r="L121" s="49" t="n">
        <v>5000</v>
      </c>
      <c r="M121" s="45" t="n">
        <v>80</v>
      </c>
      <c r="N121" s="49">
        <f>IF(OR(L121="",H121=""),"",L121*H121)</f>
        <v/>
      </c>
      <c r="O121" s="45" t="inlineStr">
        <is>
          <t>Needs validation</t>
        </is>
      </c>
      <c r="P121" s="45">
        <f>IFERROR(IF(VALUE(SUBSTITUTE(SUBSTITUTE(J121,"%","")," ",""))&gt;=100,"Completed",IF(VALUE(SUBSTITUTE(SUBSTITUTE(J121,"%","")," ",""))&lt;=0,"Not Started","In Progress")),"Not Started")</f>
        <v/>
      </c>
      <c r="Q121" s="45" t="n"/>
      <c r="R121" s="45" t="n"/>
    </row>
    <row r="122" ht="15" customHeight="1" s="203">
      <c r="A122" s="45" t="n">
        <v>119</v>
      </c>
      <c r="B122" s="46" t="inlineStr">
        <is>
          <t>Standardize Category Labels — Product SKU</t>
        </is>
      </c>
      <c r="C122" s="45" t="inlineStr">
        <is>
          <t>Phase 3</t>
        </is>
      </c>
      <c r="D122" s="45" t="inlineStr">
        <is>
          <t>Lakshmi Nair</t>
        </is>
      </c>
      <c r="E122" s="45" t="inlineStr">
        <is>
          <t>Quality Assur.</t>
        </is>
      </c>
      <c r="F122" s="47" t="n">
        <v>45364</v>
      </c>
      <c r="G122" s="47" t="n">
        <v>45376</v>
      </c>
      <c r="H122" s="45">
        <f>IF(OR(F122="",G122=""),"",G122-F122)</f>
        <v/>
      </c>
      <c r="I122" s="45">
        <f>IFERROR(IF(VALUE(SUBSTITUTE(SUBSTITUTE(J122,"%","")," ",""))&lt;=0,"Not Started",IF(VALUE(SUBSTITUTE(SUBSTITUTE(J122,"%","")," ",""))&gt;=100,"Completed","In Progress")),"Not Started")</f>
        <v/>
      </c>
      <c r="J122" s="48" t="n">
        <v>0</v>
      </c>
      <c r="K122" s="45" t="inlineStr">
        <is>
          <t>Critical</t>
        </is>
      </c>
      <c r="L122" s="49" t="n">
        <v>4200</v>
      </c>
      <c r="M122" s="45" t="n">
        <v>80</v>
      </c>
      <c r="N122" s="49">
        <f>IF(OR(L122="",H122=""),"",L122*H122)</f>
        <v/>
      </c>
      <c r="O122" s="45" t="inlineStr">
        <is>
          <t>Verified OK</t>
        </is>
      </c>
      <c r="P122" s="45">
        <f>IFERROR(IF(VALUE(SUBSTITUTE(SUBSTITUTE(J122,"%","")," ",""))&gt;=100,"Completed",IF(VALUE(SUBSTITUTE(SUBSTITUTE(J122,"%","")," ",""))&lt;=0,"Not Started","In Progress")),"Not Started")</f>
        <v/>
      </c>
      <c r="Q122" s="45" t="n"/>
      <c r="R122" s="45" t="n"/>
    </row>
    <row r="123" ht="15" customHeight="1" s="203">
      <c r="A123" s="50" t="n">
        <v>120</v>
      </c>
      <c r="B123" s="51" t="inlineStr">
        <is>
          <t>Combine &amp; Reconcile Columns — Address</t>
        </is>
      </c>
      <c r="C123" s="50" t="inlineStr">
        <is>
          <t>Phase 4</t>
        </is>
      </c>
      <c r="D123" s="50" t="inlineStr">
        <is>
          <t>Lakshmi Nair</t>
        </is>
      </c>
      <c r="E123" s="50" t="inlineStr">
        <is>
          <t>PMO</t>
        </is>
      </c>
      <c r="F123" s="52" t="n">
        <v>45386</v>
      </c>
      <c r="G123" s="52" t="n">
        <v>45398</v>
      </c>
      <c r="H123" s="50">
        <f>IF(OR(F123="",G123=""),"",G123-F123)</f>
        <v/>
      </c>
      <c r="I123" s="50">
        <f>IFERROR(IF(VALUE(SUBSTITUTE(SUBSTITUTE(J123,"%","")," ",""))&lt;=0,"Not Started",IF(VALUE(SUBSTITUTE(SUBSTITUTE(J123,"%","")," ",""))&gt;=100,"Completed","In Progress")),"Not Started")</f>
        <v/>
      </c>
      <c r="J123" s="53" t="n">
        <v>0.5</v>
      </c>
      <c r="K123" s="50" t="inlineStr">
        <is>
          <t>High</t>
        </is>
      </c>
      <c r="L123" s="54" t="n">
        <v>4200</v>
      </c>
      <c r="M123" s="50" t="n">
        <v>80</v>
      </c>
      <c r="N123" s="54">
        <f>IF(OR(L123="",H123=""),"",L123*H123)</f>
        <v/>
      </c>
      <c r="O123" s="50" t="inlineStr">
        <is>
          <t>Needs validation</t>
        </is>
      </c>
      <c r="P123" s="50">
        <f>IFERROR(IF(VALUE(SUBSTITUTE(SUBSTITUTE(J123,"%","")," ",""))&gt;=100,"Completed",IF(VALUE(SUBSTITUTE(SUBSTITUTE(J123,"%","")," ",""))&lt;=0,"Not Started","In Progress")),"Not Started")</f>
        <v/>
      </c>
      <c r="Q123" s="50" t="n"/>
      <c r="R123" s="50" t="n"/>
    </row>
    <row r="124" ht="15" customHeight="1" s="203"/>
    <row r="125" ht="15" customHeight="1" s="203"/>
    <row r="126" ht="15" customHeight="1" s="203"/>
    <row r="127" ht="15" customHeight="1" s="203"/>
    <row r="128" ht="15" customHeight="1" s="203"/>
    <row r="129" ht="15" customHeight="1" s="203"/>
    <row r="130" ht="15" customHeight="1" s="203"/>
    <row r="131" ht="15" customHeight="1" s="203"/>
    <row r="132" ht="15" customHeight="1" s="203"/>
    <row r="133" ht="15" customHeight="1" s="203"/>
    <row r="134" ht="15" customHeight="1" s="203"/>
    <row r="135" ht="15" customHeight="1" s="203"/>
    <row r="136" ht="15" customHeight="1" s="203"/>
    <row r="137" ht="15" customHeight="1" s="203"/>
    <row r="138" ht="15" customHeight="1" s="203"/>
    <row r="139" ht="15" customHeight="1" s="203"/>
    <row r="140" ht="15" customHeight="1" s="203"/>
    <row r="141" ht="15" customHeight="1" s="203"/>
    <row r="142" ht="15" customHeight="1" s="203"/>
    <row r="143" ht="15" customHeight="1" s="203"/>
    <row r="144" ht="15" customHeight="1" s="203"/>
    <row r="145" ht="15" customHeight="1" s="203"/>
    <row r="146" ht="15" customHeight="1" s="203"/>
    <row r="147" ht="15" customHeight="1" s="203"/>
    <row r="148" ht="15" customHeight="1" s="203"/>
    <row r="149" ht="15" customHeight="1" s="203"/>
    <row r="150" ht="15" customHeight="1" s="203"/>
    <row r="151" ht="15" customHeight="1" s="203"/>
    <row r="152" ht="15" customHeight="1" s="203"/>
    <row r="153" ht="15" customHeight="1" s="203"/>
  </sheetData>
  <autoFilter ref="A3:P153"/>
  <mergeCells count="1">
    <mergeCell ref="A1:P1"/>
  </mergeCells>
  <hyperlinks>
    <hyperlink ref="P2" location="'Project Overview'!A1" display="← Back to Project Overview"/>
  </hyperlink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1"/>
  <sheetViews>
    <sheetView showGridLines="0" zoomScale="100" zoomScaleNormal="100" workbookViewId="0">
      <selection activeCell="A1" sqref="A1"/>
    </sheetView>
  </sheetViews>
  <sheetFormatPr baseColWidth="8" defaultColWidth="8.7109375" defaultRowHeight="15"/>
  <cols>
    <col width="6.85546875" customWidth="1" style="203" min="1" max="1"/>
    <col width="39.5703125" customWidth="1" style="203" min="2" max="2"/>
    <col width="18.5703125" customWidth="1" style="203" min="3" max="3"/>
    <col width="19.28515625" customWidth="1" style="203" min="4" max="4"/>
    <col width="18.28515625" customWidth="1" style="203" min="5" max="5"/>
    <col width="13.28515625" customWidth="1" style="203" min="6" max="6"/>
    <col width="13.85546875" customWidth="1" style="203" min="7" max="7"/>
    <col width="13" customWidth="1" style="203" min="8" max="8"/>
    <col width="7" customWidth="1" style="203" min="9" max="9"/>
    <col width="16" customWidth="1" style="203" min="10" max="10"/>
    <col width="11.7109375" customWidth="1" style="203" min="11" max="11"/>
    <col width="4.140625" customWidth="1" style="203" min="12" max="35"/>
  </cols>
  <sheetData>
    <row r="1" ht="31.5" customHeight="1" s="203">
      <c r="A1" s="198" t="inlineStr">
        <is>
          <t>📅  GANTT CHART — Data Cleaning for Excel Dashboard Development  |  January 2024 – June 2024  |  4 Phases  |  10 Techniques</t>
        </is>
      </c>
      <c r="AF1" s="60" t="n"/>
      <c r="AG1" s="60" t="n"/>
      <c r="AH1" s="60" t="n"/>
      <c r="AI1" s="60" t="n"/>
    </row>
    <row r="2" ht="18" customHeight="1" s="203">
      <c r="A2" s="61" t="n"/>
      <c r="B2" s="62" t="n"/>
      <c r="C2" s="62" t="n"/>
      <c r="D2" s="62" t="n"/>
      <c r="E2" s="215" t="inlineStr">
        <is>
          <t xml:space="preserve">&lt;-Back </t>
        </is>
      </c>
      <c r="F2" s="62" t="n"/>
      <c r="G2" s="62" t="n"/>
      <c r="H2" s="62" t="n"/>
      <c r="I2" s="62" t="n"/>
      <c r="J2" s="62" t="n"/>
      <c r="K2" s="62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2" t="n"/>
      <c r="AA2" s="62" t="n"/>
      <c r="AB2" s="62" t="n"/>
      <c r="AC2" s="62" t="n"/>
      <c r="AD2" s="62" t="n"/>
      <c r="AE2" s="62" t="n"/>
      <c r="AF2" s="62" t="n"/>
      <c r="AG2" s="62" t="n"/>
      <c r="AH2" s="62" t="n"/>
      <c r="AI2" s="62" t="n"/>
    </row>
    <row r="3" ht="25.5" customHeight="1" s="203">
      <c r="A3" s="63" t="inlineStr">
        <is>
          <t>#</t>
        </is>
      </c>
      <c r="B3" s="63" t="inlineStr">
        <is>
          <t>Task / Technique</t>
        </is>
      </c>
      <c r="C3" s="63" t="inlineStr">
        <is>
          <t>Phase</t>
        </is>
      </c>
      <c r="D3" s="63" t="inlineStr">
        <is>
          <t>Owner</t>
        </is>
      </c>
      <c r="E3" s="63" t="inlineStr">
        <is>
          <t>Start</t>
        </is>
      </c>
      <c r="F3" s="63" t="inlineStr">
        <is>
          <t>End</t>
        </is>
      </c>
      <c r="G3" s="63" t="inlineStr">
        <is>
          <t>Days</t>
        </is>
      </c>
      <c r="H3" s="63" t="inlineStr">
        <is>
          <t>Status</t>
        </is>
      </c>
      <c r="I3" s="63" t="inlineStr">
        <is>
          <t>% Done</t>
        </is>
      </c>
      <c r="J3" s="63" t="inlineStr">
        <is>
          <t>Priority</t>
        </is>
      </c>
      <c r="K3" s="199" t="inlineStr">
        <is>
          <t>January 2024</t>
        </is>
      </c>
      <c r="L3" s="221" t="n"/>
      <c r="M3" s="221" t="n"/>
      <c r="N3" s="221" t="n"/>
      <c r="O3" s="199" t="inlineStr">
        <is>
          <t>February 2024</t>
        </is>
      </c>
      <c r="P3" s="221" t="n"/>
      <c r="Q3" s="221" t="n"/>
      <c r="R3" s="221" t="n"/>
      <c r="S3" s="200" t="inlineStr">
        <is>
          <t>March 2024</t>
        </is>
      </c>
      <c r="T3" s="221" t="n"/>
      <c r="U3" s="221" t="n"/>
      <c r="V3" s="221" t="n"/>
      <c r="W3" s="200" t="inlineStr">
        <is>
          <t>April 2024</t>
        </is>
      </c>
      <c r="X3" s="221" t="n"/>
      <c r="Y3" s="221" t="n"/>
      <c r="Z3" s="221" t="n"/>
      <c r="AA3" s="201" t="inlineStr">
        <is>
          <t>May 2024</t>
        </is>
      </c>
      <c r="AB3" s="221" t="n"/>
      <c r="AC3" s="221" t="n"/>
      <c r="AD3" s="221" t="n"/>
      <c r="AE3" s="201" t="inlineStr">
        <is>
          <t>June 2024</t>
        </is>
      </c>
      <c r="AF3" s="221" t="n"/>
      <c r="AG3" s="221" t="n"/>
      <c r="AH3" s="221" t="n"/>
      <c r="AI3" s="221" t="n"/>
    </row>
    <row r="4" ht="15" customHeight="1" s="203">
      <c r="A4" s="202" t="n"/>
      <c r="K4" s="64" t="inlineStr">
        <is>
          <t>W1</t>
        </is>
      </c>
      <c r="L4" s="64" t="inlineStr">
        <is>
          <t>W2</t>
        </is>
      </c>
      <c r="M4" s="64" t="inlineStr">
        <is>
          <t>W3</t>
        </is>
      </c>
      <c r="N4" s="64" t="inlineStr">
        <is>
          <t>W4</t>
        </is>
      </c>
      <c r="O4" s="64" t="inlineStr">
        <is>
          <t>W1</t>
        </is>
      </c>
      <c r="P4" s="64" t="inlineStr">
        <is>
          <t>W2</t>
        </is>
      </c>
      <c r="Q4" s="64" t="inlineStr">
        <is>
          <t>W3</t>
        </is>
      </c>
      <c r="R4" s="64" t="inlineStr">
        <is>
          <t>W4</t>
        </is>
      </c>
      <c r="S4" s="65" t="inlineStr">
        <is>
          <t>W1</t>
        </is>
      </c>
      <c r="T4" s="65" t="inlineStr">
        <is>
          <t>W2</t>
        </is>
      </c>
      <c r="U4" s="65" t="inlineStr">
        <is>
          <t>W3</t>
        </is>
      </c>
      <c r="V4" s="65" t="inlineStr">
        <is>
          <t>W4</t>
        </is>
      </c>
      <c r="W4" s="65" t="inlineStr">
        <is>
          <t>W1</t>
        </is>
      </c>
      <c r="X4" s="65" t="inlineStr">
        <is>
          <t>W2</t>
        </is>
      </c>
      <c r="Y4" s="65" t="inlineStr">
        <is>
          <t>W3</t>
        </is>
      </c>
      <c r="Z4" s="65" t="inlineStr">
        <is>
          <t>W4</t>
        </is>
      </c>
      <c r="AA4" s="66" t="inlineStr">
        <is>
          <t>W1</t>
        </is>
      </c>
      <c r="AB4" s="66" t="inlineStr">
        <is>
          <t>W2</t>
        </is>
      </c>
      <c r="AC4" s="66" t="inlineStr">
        <is>
          <t>W3</t>
        </is>
      </c>
      <c r="AD4" s="66" t="inlineStr">
        <is>
          <t>W4</t>
        </is>
      </c>
      <c r="AE4" s="66" t="inlineStr">
        <is>
          <t>W1</t>
        </is>
      </c>
      <c r="AF4" s="66" t="inlineStr">
        <is>
          <t>W2</t>
        </is>
      </c>
      <c r="AG4" s="66" t="inlineStr">
        <is>
          <t>W3</t>
        </is>
      </c>
      <c r="AH4" s="66" t="inlineStr">
        <is>
          <t>W4</t>
        </is>
      </c>
    </row>
    <row r="5" ht="15" customHeight="1" s="203"/>
    <row r="6" ht="21.75" customHeight="1" s="203">
      <c r="A6" s="67" t="inlineStr">
        <is>
          <t>PHASE 1 — Foundation Cleaning (Techniques 1–3)</t>
        </is>
      </c>
      <c r="B6" s="68" t="n"/>
      <c r="C6" s="68" t="n"/>
      <c r="D6" s="68" t="n"/>
      <c r="E6" s="68" t="n"/>
      <c r="F6" s="68" t="n"/>
      <c r="G6" s="68" t="n"/>
      <c r="H6" s="68" t="n"/>
      <c r="I6" s="68" t="n"/>
      <c r="J6" s="68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</row>
    <row r="7" ht="21.75" customHeight="1" s="203">
      <c r="A7" s="204" t="n">
        <v>1</v>
      </c>
      <c r="B7" s="71" t="inlineStr">
        <is>
          <t>Remove Duplicates — CRM Export Cleaning</t>
        </is>
      </c>
      <c r="C7" s="204" t="inlineStr">
        <is>
          <t>Phase 1</t>
        </is>
      </c>
      <c r="D7" s="204" t="inlineStr">
        <is>
          <t>Priya Sharma</t>
        </is>
      </c>
      <c r="E7" s="72" t="n">
        <v>45292</v>
      </c>
      <c r="F7" s="72" t="n">
        <v>45306</v>
      </c>
      <c r="G7" s="204" t="n">
        <v>14</v>
      </c>
      <c r="H7" s="73" t="inlineStr">
        <is>
          <t>Completed</t>
        </is>
      </c>
      <c r="I7" s="74" t="n">
        <v>1</v>
      </c>
      <c r="J7" s="204" t="inlineStr">
        <is>
          <t>Critical</t>
        </is>
      </c>
      <c r="K7" s="75" t="n"/>
      <c r="L7" s="75" t="n"/>
      <c r="M7" s="75" t="n"/>
      <c r="N7" s="76" t="n"/>
      <c r="O7" s="77" t="n"/>
      <c r="P7" s="76" t="n"/>
      <c r="Q7" s="77" t="n"/>
      <c r="R7" s="76" t="n"/>
      <c r="S7" s="77" t="n"/>
      <c r="T7" s="76" t="n"/>
      <c r="U7" s="77" t="n"/>
      <c r="V7" s="76" t="n"/>
      <c r="W7" s="77" t="n"/>
      <c r="X7" s="76" t="n"/>
      <c r="Y7" s="77" t="n"/>
      <c r="Z7" s="76" t="n"/>
      <c r="AA7" s="77" t="n"/>
      <c r="AB7" s="76" t="n"/>
      <c r="AC7" s="77" t="n"/>
      <c r="AD7" s="76" t="n"/>
      <c r="AE7" s="77" t="n"/>
      <c r="AF7" s="76" t="n"/>
      <c r="AG7" s="77" t="n"/>
      <c r="AH7" s="76" t="n"/>
      <c r="AI7" s="78" t="n"/>
    </row>
    <row r="8" ht="21.75" customHeight="1" s="203">
      <c r="A8" s="204" t="n">
        <v>2</v>
      </c>
      <c r="B8" s="71" t="inlineStr">
        <is>
          <t>Trim Extra Spaces — Customer Name Import</t>
        </is>
      </c>
      <c r="C8" s="204" t="inlineStr">
        <is>
          <t>Phase 1</t>
        </is>
      </c>
      <c r="D8" s="204" t="inlineStr">
        <is>
          <t>Rahul Mehta</t>
        </is>
      </c>
      <c r="E8" s="72" t="n">
        <v>45299</v>
      </c>
      <c r="F8" s="72" t="n">
        <v>45309</v>
      </c>
      <c r="G8" s="204" t="n">
        <v>10</v>
      </c>
      <c r="H8" s="73" t="inlineStr">
        <is>
          <t>Completed</t>
        </is>
      </c>
      <c r="I8" s="74" t="n">
        <v>1</v>
      </c>
      <c r="J8" s="204" t="inlineStr">
        <is>
          <t>Critical</t>
        </is>
      </c>
      <c r="K8" s="77" t="n"/>
      <c r="L8" s="75" t="n"/>
      <c r="M8" s="75" t="n"/>
      <c r="N8" s="76" t="n"/>
      <c r="O8" s="77" t="n"/>
      <c r="P8" s="76" t="n"/>
      <c r="Q8" s="77" t="n"/>
      <c r="R8" s="76" t="n"/>
      <c r="S8" s="77" t="n"/>
      <c r="T8" s="76" t="n"/>
      <c r="U8" s="77" t="n"/>
      <c r="V8" s="76" t="n"/>
      <c r="W8" s="77" t="n"/>
      <c r="X8" s="76" t="n"/>
      <c r="Y8" s="77" t="n"/>
      <c r="Z8" s="76" t="n"/>
      <c r="AA8" s="77" t="n"/>
      <c r="AB8" s="76" t="n"/>
      <c r="AC8" s="77" t="n"/>
      <c r="AD8" s="76" t="n"/>
      <c r="AE8" s="77" t="n"/>
      <c r="AF8" s="76" t="n"/>
      <c r="AG8" s="77" t="n"/>
      <c r="AH8" s="76" t="n"/>
      <c r="AI8" s="79" t="n"/>
    </row>
    <row r="9" ht="21.75" customHeight="1" s="203">
      <c r="A9" s="204" t="n">
        <v>3</v>
      </c>
      <c r="B9" s="222" t="n"/>
      <c r="C9" s="222" t="n"/>
      <c r="D9" s="222" t="n"/>
      <c r="E9" s="222" t="n"/>
      <c r="F9" s="222" t="n"/>
      <c r="G9" s="222" t="n"/>
      <c r="H9" s="222" t="n"/>
      <c r="I9" s="222" t="n"/>
      <c r="J9" s="223" t="n"/>
      <c r="K9" s="77" t="n"/>
      <c r="L9" s="76" t="n"/>
      <c r="M9" s="75" t="n"/>
      <c r="N9" s="75" t="n"/>
      <c r="O9" s="77" t="n"/>
      <c r="P9" s="76" t="n"/>
      <c r="Q9" s="77" t="n"/>
      <c r="R9" s="76" t="n"/>
      <c r="S9" s="77" t="n"/>
      <c r="T9" s="76" t="n"/>
      <c r="U9" s="77" t="n"/>
      <c r="V9" s="76" t="n"/>
      <c r="W9" s="77" t="n"/>
      <c r="X9" s="76" t="n"/>
      <c r="Y9" s="77" t="n"/>
      <c r="Z9" s="76" t="n"/>
      <c r="AA9" s="77" t="n"/>
      <c r="AB9" s="76" t="n"/>
      <c r="AC9" s="77" t="n"/>
      <c r="AD9" s="76" t="n"/>
      <c r="AE9" s="77" t="n"/>
      <c r="AF9" s="76" t="n"/>
      <c r="AG9" s="77" t="n"/>
      <c r="AH9" s="76" t="n"/>
      <c r="AI9" s="78" t="n"/>
    </row>
    <row r="10" ht="21.75" customHeight="1" s="203">
      <c r="A10" s="80" t="inlineStr">
        <is>
          <t>PHASE 2 — Structure &amp; Format Cleaning (Techniques 4–6)</t>
        </is>
      </c>
      <c r="B10" s="81" t="n"/>
      <c r="C10" s="81" t="n"/>
      <c r="D10" s="81" t="n"/>
      <c r="E10" s="81" t="n"/>
      <c r="F10" s="81" t="n"/>
      <c r="G10" s="81" t="n"/>
      <c r="H10" s="81" t="n"/>
      <c r="I10" s="81" t="n"/>
      <c r="J10" s="81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82" t="n"/>
    </row>
    <row r="11" ht="21.75" customHeight="1" s="203">
      <c r="A11" s="205" t="n">
        <v>4</v>
      </c>
      <c r="B11" s="84" t="inlineStr">
        <is>
          <t>Fix Date Formats — Legacy System Dates</t>
        </is>
      </c>
      <c r="C11" s="205" t="inlineStr">
        <is>
          <t>Phase 2</t>
        </is>
      </c>
      <c r="D11" s="205" t="inlineStr">
        <is>
          <t>Amit Roy</t>
        </is>
      </c>
      <c r="E11" s="85" t="n">
        <v>45320</v>
      </c>
      <c r="F11" s="85" t="n">
        <v>45334</v>
      </c>
      <c r="G11" s="205" t="n">
        <v>14</v>
      </c>
      <c r="H11" s="73" t="inlineStr">
        <is>
          <t>Completed</t>
        </is>
      </c>
      <c r="I11" s="86" t="n">
        <v>1</v>
      </c>
      <c r="J11" s="205" t="inlineStr">
        <is>
          <t>Critical</t>
        </is>
      </c>
      <c r="K11" s="77" t="n"/>
      <c r="L11" s="76" t="n"/>
      <c r="M11" s="77" t="n"/>
      <c r="N11" s="76" t="n"/>
      <c r="O11" s="87" t="n"/>
      <c r="P11" s="87" t="n"/>
      <c r="Q11" s="87" t="n"/>
      <c r="R11" s="76" t="n"/>
      <c r="S11" s="77" t="n"/>
      <c r="T11" s="76" t="n"/>
      <c r="U11" s="77" t="n"/>
      <c r="V11" s="76" t="n"/>
      <c r="W11" s="77" t="n"/>
      <c r="X11" s="76" t="n"/>
      <c r="Y11" s="77" t="n"/>
      <c r="Z11" s="76" t="n"/>
      <c r="AA11" s="77" t="n"/>
      <c r="AB11" s="76" t="n"/>
      <c r="AC11" s="77" t="n"/>
      <c r="AD11" s="76" t="n"/>
      <c r="AE11" s="77" t="n"/>
      <c r="AF11" s="76" t="n"/>
      <c r="AG11" s="77" t="n"/>
      <c r="AH11" s="76" t="n"/>
      <c r="AI11" s="78" t="n"/>
    </row>
    <row r="12" ht="21.75" customHeight="1" s="203">
      <c r="A12" s="205" t="n">
        <v>5</v>
      </c>
      <c r="B12" s="84" t="inlineStr">
        <is>
          <t>Handle Missing Values — Customer Database</t>
        </is>
      </c>
      <c r="C12" s="205" t="inlineStr">
        <is>
          <t>Phase 2</t>
        </is>
      </c>
      <c r="D12" s="205" t="inlineStr">
        <is>
          <t>Sunita Verma</t>
        </is>
      </c>
      <c r="E12" s="85" t="n">
        <v>45327</v>
      </c>
      <c r="F12" s="85" t="n">
        <v>45341</v>
      </c>
      <c r="G12" s="205" t="n">
        <v>14</v>
      </c>
      <c r="H12" s="73" t="inlineStr">
        <is>
          <t>Completed</t>
        </is>
      </c>
      <c r="I12" s="86" t="n">
        <v>1</v>
      </c>
      <c r="J12" s="205" t="inlineStr">
        <is>
          <t>High</t>
        </is>
      </c>
      <c r="K12" s="77" t="n"/>
      <c r="L12" s="76" t="n"/>
      <c r="M12" s="77" t="n"/>
      <c r="N12" s="76" t="n"/>
      <c r="O12" s="77" t="n"/>
      <c r="P12" s="87" t="n"/>
      <c r="Q12" s="87" t="n"/>
      <c r="R12" s="87" t="n"/>
      <c r="S12" s="77" t="n"/>
      <c r="T12" s="76" t="n"/>
      <c r="U12" s="77" t="n"/>
      <c r="V12" s="76" t="n"/>
      <c r="W12" s="77" t="n"/>
      <c r="X12" s="76" t="n"/>
      <c r="Y12" s="77" t="n"/>
      <c r="Z12" s="76" t="n"/>
      <c r="AA12" s="77" t="n"/>
      <c r="AB12" s="76" t="n"/>
      <c r="AC12" s="77" t="n"/>
      <c r="AD12" s="76" t="n"/>
      <c r="AE12" s="77" t="n"/>
      <c r="AF12" s="76" t="n"/>
      <c r="AG12" s="77" t="n"/>
      <c r="AH12" s="76" t="n"/>
      <c r="AI12" s="79" t="n"/>
    </row>
    <row r="13" ht="21.75" customHeight="1" s="203">
      <c r="A13" s="205" t="n">
        <v>6</v>
      </c>
      <c r="B13" s="222" t="n"/>
      <c r="C13" s="222" t="n"/>
      <c r="D13" s="222" t="n"/>
      <c r="E13" s="222" t="n"/>
      <c r="F13" s="222" t="n"/>
      <c r="G13" s="222" t="n"/>
      <c r="H13" s="222" t="n"/>
      <c r="I13" s="222" t="n"/>
      <c r="J13" s="223" t="n"/>
      <c r="K13" s="77" t="n"/>
      <c r="L13" s="76" t="n"/>
      <c r="M13" s="77" t="n"/>
      <c r="N13" s="76" t="n"/>
      <c r="O13" s="77" t="n"/>
      <c r="P13" s="76" t="n"/>
      <c r="Q13" s="88" t="n"/>
      <c r="R13" s="88" t="n"/>
      <c r="S13" s="77" t="n"/>
      <c r="T13" s="76" t="n"/>
      <c r="U13" s="77" t="n"/>
      <c r="V13" s="76" t="n"/>
      <c r="W13" s="77" t="n"/>
      <c r="X13" s="76" t="n"/>
      <c r="Y13" s="77" t="n"/>
      <c r="Z13" s="76" t="n"/>
      <c r="AA13" s="77" t="n"/>
      <c r="AB13" s="76" t="n"/>
      <c r="AC13" s="77" t="n"/>
      <c r="AD13" s="76" t="n"/>
      <c r="AE13" s="77" t="n"/>
      <c r="AF13" s="76" t="n"/>
      <c r="AG13" s="77" t="n"/>
      <c r="AH13" s="76" t="n"/>
      <c r="AI13" s="78" t="n"/>
    </row>
    <row r="14" ht="21.75" customHeight="1" s="203">
      <c r="A14" s="89" t="inlineStr">
        <is>
          <t>PHASE 3 — Value Validation &amp; Standardisation (Techniques 7–9)</t>
        </is>
      </c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</row>
    <row r="15" ht="21.75" customHeight="1" s="203">
      <c r="A15" s="206" t="n">
        <v>7</v>
      </c>
      <c r="B15" s="93" t="inlineStr">
        <is>
          <t>Remove Non-Numeric Chars — Revenue Data</t>
        </is>
      </c>
      <c r="C15" s="206" t="inlineStr">
        <is>
          <t>Phase 3</t>
        </is>
      </c>
      <c r="D15" s="206" t="inlineStr">
        <is>
          <t>Amit Roy</t>
        </is>
      </c>
      <c r="E15" s="94" t="n">
        <v>45355</v>
      </c>
      <c r="F15" s="94" t="n">
        <v>45369</v>
      </c>
      <c r="G15" s="206" t="n">
        <v>14</v>
      </c>
      <c r="H15" s="95" t="inlineStr">
        <is>
          <t>In Progress</t>
        </is>
      </c>
      <c r="I15" s="96" t="n">
        <v>0.4</v>
      </c>
      <c r="J15" s="206" t="inlineStr">
        <is>
          <t>Critical</t>
        </is>
      </c>
      <c r="K15" s="77" t="n"/>
      <c r="L15" s="76" t="n"/>
      <c r="M15" s="77" t="n"/>
      <c r="N15" s="76" t="n"/>
      <c r="O15" s="77" t="n"/>
      <c r="P15" s="76" t="n"/>
      <c r="Q15" s="77" t="n"/>
      <c r="R15" s="76" t="n"/>
      <c r="S15" s="77" t="n"/>
      <c r="T15" s="97" t="n"/>
      <c r="U15" s="97" t="n"/>
      <c r="V15" s="97" t="n"/>
      <c r="W15" s="77" t="n"/>
      <c r="X15" s="76" t="n"/>
      <c r="Y15" s="77" t="n"/>
      <c r="Z15" s="76" t="n"/>
      <c r="AA15" s="77" t="n"/>
      <c r="AB15" s="76" t="n"/>
      <c r="AC15" s="77" t="n"/>
      <c r="AD15" s="76" t="n"/>
      <c r="AE15" s="77" t="n"/>
      <c r="AF15" s="76" t="n"/>
      <c r="AG15" s="77" t="n"/>
      <c r="AH15" s="76" t="n"/>
      <c r="AI15" s="78" t="n"/>
    </row>
    <row r="16" ht="21.75" customHeight="1" s="203">
      <c r="A16" s="206" t="n">
        <v>8</v>
      </c>
      <c r="B16" s="93" t="inlineStr">
        <is>
          <t>Validate Data Ranges — HR Age Dataset</t>
        </is>
      </c>
      <c r="C16" s="206" t="inlineStr">
        <is>
          <t>Phase 3</t>
        </is>
      </c>
      <c r="D16" s="206" t="inlineStr">
        <is>
          <t>Pooja Iyer</t>
        </is>
      </c>
      <c r="E16" s="94" t="n">
        <v>45362</v>
      </c>
      <c r="F16" s="94" t="n">
        <v>45376</v>
      </c>
      <c r="G16" s="206" t="n">
        <v>14</v>
      </c>
      <c r="H16" s="98" t="inlineStr">
        <is>
          <t>Not Started</t>
        </is>
      </c>
      <c r="I16" s="96" t="n">
        <v>0</v>
      </c>
      <c r="J16" s="206" t="inlineStr">
        <is>
          <t>High</t>
        </is>
      </c>
      <c r="K16" s="77" t="n"/>
      <c r="L16" s="76" t="n"/>
      <c r="M16" s="77" t="n"/>
      <c r="N16" s="76" t="n"/>
      <c r="O16" s="77" t="n"/>
      <c r="P16" s="76" t="n"/>
      <c r="Q16" s="77" t="n"/>
      <c r="R16" s="76" t="n"/>
      <c r="S16" s="77" t="n"/>
      <c r="T16" s="76" t="n"/>
      <c r="U16" s="99" t="n"/>
      <c r="V16" s="99" t="n"/>
      <c r="W16" s="99" t="n"/>
      <c r="X16" s="76" t="n"/>
      <c r="Y16" s="77" t="n"/>
      <c r="Z16" s="76" t="n"/>
      <c r="AA16" s="77" t="n"/>
      <c r="AB16" s="76" t="n"/>
      <c r="AC16" s="77" t="n"/>
      <c r="AD16" s="76" t="n"/>
      <c r="AE16" s="77" t="n"/>
      <c r="AF16" s="76" t="n"/>
      <c r="AG16" s="77" t="n"/>
      <c r="AH16" s="76" t="n"/>
      <c r="AI16" s="79" t="n"/>
    </row>
    <row r="17" ht="21.75" customHeight="1" s="203">
      <c r="A17" s="206" t="n">
        <v>9</v>
      </c>
      <c r="B17" s="222" t="n"/>
      <c r="C17" s="222" t="n"/>
      <c r="D17" s="222" t="n"/>
      <c r="E17" s="222" t="n"/>
      <c r="F17" s="222" t="n"/>
      <c r="G17" s="222" t="n"/>
      <c r="H17" s="222" t="n"/>
      <c r="I17" s="222" t="n"/>
      <c r="J17" s="223" t="n"/>
      <c r="K17" s="77" t="n"/>
      <c r="L17" s="76" t="n"/>
      <c r="M17" s="77" t="n"/>
      <c r="N17" s="76" t="n"/>
      <c r="O17" s="77" t="n"/>
      <c r="P17" s="76" t="n"/>
      <c r="Q17" s="77" t="n"/>
      <c r="R17" s="76" t="n"/>
      <c r="S17" s="77" t="n"/>
      <c r="T17" s="76" t="n"/>
      <c r="U17" s="77" t="n"/>
      <c r="V17" s="99" t="n"/>
      <c r="W17" s="99" t="n"/>
      <c r="X17" s="99" t="n"/>
      <c r="Y17" s="77" t="n"/>
      <c r="Z17" s="76" t="n"/>
      <c r="AA17" s="77" t="n"/>
      <c r="AB17" s="76" t="n"/>
      <c r="AC17" s="77" t="n"/>
      <c r="AD17" s="76" t="n"/>
      <c r="AE17" s="77" t="n"/>
      <c r="AF17" s="76" t="n"/>
      <c r="AG17" s="77" t="n"/>
      <c r="AH17" s="76" t="n"/>
      <c r="AI17" s="78" t="n"/>
    </row>
    <row r="18" ht="21.75" customHeight="1" s="203">
      <c r="A18" s="100" t="inlineStr">
        <is>
          <t>PHASE 4 — Data Consolidation &amp; Final QA (Technique 10)</t>
        </is>
      </c>
      <c r="B18" s="101" t="n"/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102" t="n"/>
      <c r="L18" s="102" t="n"/>
      <c r="M18" s="102" t="n"/>
      <c r="N18" s="102" t="n"/>
      <c r="O18" s="102" t="n"/>
      <c r="P18" s="102" t="n"/>
      <c r="Q18" s="102" t="n"/>
      <c r="R18" s="102" t="n"/>
      <c r="S18" s="102" t="n"/>
      <c r="T18" s="102" t="n"/>
      <c r="U18" s="102" t="n"/>
      <c r="V18" s="102" t="n"/>
      <c r="W18" s="102" t="n"/>
      <c r="X18" s="102" t="n"/>
      <c r="Y18" s="102" t="n"/>
      <c r="Z18" s="102" t="n"/>
      <c r="AA18" s="102" t="n"/>
      <c r="AB18" s="102" t="n"/>
      <c r="AC18" s="102" t="n"/>
      <c r="AD18" s="102" t="n"/>
      <c r="AE18" s="102" t="n"/>
      <c r="AF18" s="102" t="n"/>
      <c r="AG18" s="102" t="n"/>
      <c r="AH18" s="102" t="n"/>
      <c r="AI18" s="102" t="n"/>
    </row>
    <row r="19" ht="21.75" customHeight="1" s="203">
      <c r="A19" s="103" t="n">
        <v>10</v>
      </c>
      <c r="B19" s="104" t="inlineStr">
        <is>
          <t>Combine &amp; Reconcile Columns — Address</t>
        </is>
      </c>
      <c r="C19" s="103" t="inlineStr">
        <is>
          <t>Phase 4</t>
        </is>
      </c>
      <c r="D19" s="103" t="inlineStr">
        <is>
          <t>Vikram Nair</t>
        </is>
      </c>
      <c r="E19" s="105" t="n">
        <v>45397</v>
      </c>
      <c r="F19" s="105" t="n">
        <v>45411</v>
      </c>
      <c r="G19" s="103" t="n">
        <v>14</v>
      </c>
      <c r="H19" s="98" t="inlineStr">
        <is>
          <t>Not Started</t>
        </is>
      </c>
      <c r="I19" s="106" t="n">
        <v>0</v>
      </c>
      <c r="J19" s="103" t="inlineStr">
        <is>
          <t>Medium</t>
        </is>
      </c>
      <c r="K19" s="77" t="n"/>
      <c r="L19" s="76" t="n"/>
      <c r="M19" s="77" t="n"/>
      <c r="N19" s="76" t="n"/>
      <c r="O19" s="77" t="n"/>
      <c r="P19" s="76" t="n"/>
      <c r="Q19" s="77" t="n"/>
      <c r="R19" s="76" t="n"/>
      <c r="S19" s="77" t="n"/>
      <c r="T19" s="76" t="n"/>
      <c r="U19" s="77" t="n"/>
      <c r="V19" s="76" t="n"/>
      <c r="W19" s="77" t="n"/>
      <c r="X19" s="76" t="n"/>
      <c r="Y19" s="77" t="n"/>
      <c r="Z19" s="107" t="n"/>
      <c r="AA19" s="107" t="n"/>
      <c r="AB19" s="107" t="n"/>
      <c r="AC19" s="77" t="n"/>
      <c r="AD19" s="76" t="n"/>
      <c r="AE19" s="77" t="n"/>
      <c r="AF19" s="76" t="n"/>
      <c r="AG19" s="77" t="n"/>
      <c r="AH19" s="76" t="n"/>
      <c r="AI19" s="78" t="n"/>
    </row>
    <row r="20" ht="15" customHeight="1" s="203"/>
    <row r="21" ht="19.5" customHeight="1" s="203">
      <c r="A21" s="108" t="inlineStr">
        <is>
          <t>LEGEND</t>
        </is>
      </c>
      <c r="B21" s="109" t="inlineStr">
        <is>
          <t>Phase 1 – Foundation</t>
        </is>
      </c>
      <c r="C21" s="110" t="inlineStr">
        <is>
          <t>Phase 2 – Structure</t>
        </is>
      </c>
      <c r="D21" s="111" t="inlineStr">
        <is>
          <t>Phase 3 – Validation</t>
        </is>
      </c>
      <c r="E21" s="112" t="inlineStr">
        <is>
          <t>Phase 4 – Final QA</t>
        </is>
      </c>
      <c r="F21" s="113" t="inlineStr">
        <is>
          <t>■ Completed</t>
        </is>
      </c>
      <c r="G21" s="114" t="inlineStr">
        <is>
          <t>■ In Progress</t>
        </is>
      </c>
      <c r="H21" s="115" t="inlineStr">
        <is>
          <t>■ Not Started</t>
        </is>
      </c>
    </row>
  </sheetData>
  <mergeCells count="12">
    <mergeCell ref="A5:J5"/>
    <mergeCell ref="W3:Z3"/>
    <mergeCell ref="S3:V3"/>
    <mergeCell ref="AE3:AI3"/>
    <mergeCell ref="K3:N3"/>
    <mergeCell ref="A17:J17"/>
    <mergeCell ref="A9:J9"/>
    <mergeCell ref="AA3:AD3"/>
    <mergeCell ref="O3:R3"/>
    <mergeCell ref="A1:AE1"/>
    <mergeCell ref="A4:J4"/>
    <mergeCell ref="A13:J13"/>
  </mergeCells>
  <hyperlinks>
    <hyperlink ref="E2" location="'Project Overview'!A1" display="&lt;-Back "/>
  </hyperlink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zoomScaleNormal="100" workbookViewId="0">
      <pane ySplit="3" topLeftCell="A12" activePane="bottomLeft" state="frozen"/>
      <selection pane="bottomLeft" activeCell="M17" sqref="M17"/>
    </sheetView>
  </sheetViews>
  <sheetFormatPr baseColWidth="8" defaultColWidth="8.7109375" defaultRowHeight="15"/>
  <cols>
    <col width="14.140625" customWidth="1" style="203" min="1" max="2"/>
    <col width="22" customWidth="1" style="203" min="3" max="3"/>
    <col width="16" customWidth="1" style="203" min="4" max="4"/>
    <col width="40" customWidth="1" style="203" min="5" max="5"/>
    <col width="8" customWidth="1" style="203" min="6" max="6"/>
    <col width="8.7109375" customWidth="1" style="203" min="7" max="7"/>
    <col width="7" customWidth="1" style="203" min="8" max="9"/>
    <col width="10" customWidth="1" style="203" min="10" max="10"/>
    <col width="14" customWidth="1" style="203" min="11" max="11"/>
    <col width="12" customWidth="1" style="203" min="12" max="12"/>
    <col width="14" customWidth="1" style="203" min="13" max="14"/>
    <col width="12" customWidth="1" style="203" min="15" max="15"/>
  </cols>
  <sheetData>
    <row r="1" ht="25.5" customHeight="1" s="203">
      <c r="A1" s="184" t="inlineStr">
        <is>
          <t>👥  RESOURCE ALLOCATION PLANNER — Data Cleaning Project  |  Team capacity, task assignments, workload &amp; availability — Jan to Jun 2024</t>
        </is>
      </c>
    </row>
    <row r="2" ht="20.25" customHeight="1" s="203">
      <c r="O2" s="214" t="inlineStr">
        <is>
          <t>← Back to Project Overview</t>
        </is>
      </c>
    </row>
    <row r="3" ht="31.5" customHeight="1" s="203">
      <c r="A3" s="38" t="inlineStr">
        <is>
          <t>#</t>
        </is>
      </c>
      <c r="B3" s="38" t="inlineStr">
        <is>
          <t>Resource Name</t>
        </is>
      </c>
      <c r="C3" s="38" t="inlineStr">
        <is>
          <t>Role</t>
        </is>
      </c>
      <c r="D3" s="38" t="inlineStr">
        <is>
          <t>Department</t>
        </is>
      </c>
      <c r="E3" s="38" t="inlineStr">
        <is>
          <t>Techniques Assigned</t>
        </is>
      </c>
      <c r="F3" s="38" t="inlineStr">
        <is>
          <t>Ph.1</t>
        </is>
      </c>
      <c r="G3" s="38" t="inlineStr">
        <is>
          <t>Ph.2</t>
        </is>
      </c>
      <c r="H3" s="38" t="inlineStr">
        <is>
          <t>Ph.3</t>
        </is>
      </c>
      <c r="I3" s="38" t="inlineStr">
        <is>
          <t>Ph.4</t>
        </is>
      </c>
      <c r="J3" s="38" t="inlineStr">
        <is>
          <t>Total Tasks</t>
        </is>
      </c>
      <c r="K3" s="38" t="inlineStr">
        <is>
          <t>Daily Rate (₹)</t>
        </is>
      </c>
      <c r="L3" s="38" t="inlineStr">
        <is>
          <t>Hours Alloc.</t>
        </is>
      </c>
      <c r="M3" s="38" t="inlineStr">
        <is>
          <t>Availability %</t>
        </is>
      </c>
      <c r="N3" s="38" t="inlineStr">
        <is>
          <t>Utilisation %</t>
        </is>
      </c>
      <c r="O3" s="38" t="inlineStr">
        <is>
          <t>Status</t>
        </is>
      </c>
    </row>
    <row r="4" ht="15" customHeight="1" s="203">
      <c r="A4" s="116" t="n">
        <v>1</v>
      </c>
      <c r="B4" s="117" t="inlineStr">
        <is>
          <t>Priya Sharma</t>
        </is>
      </c>
      <c r="C4" s="117" t="inlineStr">
        <is>
          <t>Senior Data Analyst</t>
        </is>
      </c>
      <c r="D4" s="117" t="inlineStr">
        <is>
          <t>BI &amp; Analytics</t>
        </is>
      </c>
      <c r="E4" s="118" t="inlineStr">
        <is>
          <t>COUNTIF, TRIM, CLEAN, VLOOKUP, ISBLANK</t>
        </is>
      </c>
      <c r="F4" s="116" t="n">
        <v>2</v>
      </c>
      <c r="G4" s="116" t="n">
        <v>2</v>
      </c>
      <c r="H4" s="116" t="n">
        <v>1</v>
      </c>
      <c r="I4" s="116" t="n">
        <v>0</v>
      </c>
      <c r="J4" s="116">
        <f>SUM(F4:I4)</f>
        <v/>
      </c>
      <c r="K4" s="119" t="n">
        <v>3500</v>
      </c>
      <c r="L4" s="116" t="n">
        <v>168</v>
      </c>
      <c r="M4" s="120" t="n">
        <v>0.9</v>
      </c>
      <c r="N4" s="120">
        <f>IF(M4="",0,M4/168)</f>
        <v/>
      </c>
      <c r="O4" s="116" t="inlineStr">
        <is>
          <t>Active</t>
        </is>
      </c>
    </row>
    <row r="5" ht="15" customHeight="1" s="203">
      <c r="A5" s="121" t="n">
        <v>2</v>
      </c>
      <c r="B5" s="122" t="inlineStr">
        <is>
          <t>Rahul Mehta</t>
        </is>
      </c>
      <c r="C5" s="122" t="inlineStr">
        <is>
          <t>BI Developer</t>
        </is>
      </c>
      <c r="D5" s="122" t="inlineStr">
        <is>
          <t>Business Intel.</t>
        </is>
      </c>
      <c r="E5" s="123" t="inlineStr">
        <is>
          <t>UPPER/LOWER/PROPER, TEXTSPLIT, LEFT/MID</t>
        </is>
      </c>
      <c r="F5" s="121" t="n">
        <v>1</v>
      </c>
      <c r="G5" s="121" t="n">
        <v>1</v>
      </c>
      <c r="H5" s="121" t="n">
        <v>1</v>
      </c>
      <c r="I5" s="121" t="n">
        <v>0</v>
      </c>
      <c r="J5" s="121">
        <f>SUM(F5:I5)</f>
        <v/>
      </c>
      <c r="K5" s="124" t="n">
        <v>4000</v>
      </c>
      <c r="L5" s="121" t="n">
        <v>140</v>
      </c>
      <c r="M5" s="125" t="n">
        <v>0.8</v>
      </c>
      <c r="N5" s="125">
        <f>IF(M5="",0,M5/168)</f>
        <v/>
      </c>
      <c r="O5" s="121" t="inlineStr">
        <is>
          <t>Active</t>
        </is>
      </c>
    </row>
    <row r="6" ht="15" customHeight="1" s="203">
      <c r="A6" s="116" t="n">
        <v>3</v>
      </c>
      <c r="B6" s="117" t="inlineStr">
        <is>
          <t>Amit Roy</t>
        </is>
      </c>
      <c r="C6" s="117" t="inlineStr">
        <is>
          <t>Data Engineer</t>
        </is>
      </c>
      <c r="D6" s="117" t="inlineStr">
        <is>
          <t>Data Platform</t>
        </is>
      </c>
      <c r="E6" s="118" t="inlineStr">
        <is>
          <t>DATEVALUE, VALUE, DATE, TEXTJOIN</t>
        </is>
      </c>
      <c r="F6" s="116" t="n">
        <v>0</v>
      </c>
      <c r="G6" s="116" t="n">
        <v>1</v>
      </c>
      <c r="H6" s="116" t="n">
        <v>1</v>
      </c>
      <c r="I6" s="116" t="n">
        <v>1</v>
      </c>
      <c r="J6" s="116">
        <f>SUM(F6:I6)</f>
        <v/>
      </c>
      <c r="K6" s="119" t="n">
        <v>4200</v>
      </c>
      <c r="L6" s="116" t="n">
        <v>160</v>
      </c>
      <c r="M6" s="120" t="n">
        <v>0.95</v>
      </c>
      <c r="N6" s="120">
        <f>IF(M6="",0,M6/168)</f>
        <v/>
      </c>
      <c r="O6" s="116" t="inlineStr">
        <is>
          <t>Active</t>
        </is>
      </c>
    </row>
    <row r="7" ht="15" customHeight="1" s="203">
      <c r="A7" s="121" t="n">
        <v>4</v>
      </c>
      <c r="B7" s="122" t="inlineStr">
        <is>
          <t>Sunita Verma</t>
        </is>
      </c>
      <c r="C7" s="122" t="inlineStr">
        <is>
          <t>QA Analyst</t>
        </is>
      </c>
      <c r="D7" s="122" t="inlineStr">
        <is>
          <t>Quality Assur.</t>
        </is>
      </c>
      <c r="E7" s="123" t="inlineStr">
        <is>
          <t>IFERROR, ISBLANK, AVERAGEIFS, IF, AND</t>
        </is>
      </c>
      <c r="F7" s="121" t="n">
        <v>0</v>
      </c>
      <c r="G7" s="121" t="n">
        <v>1</v>
      </c>
      <c r="H7" s="121" t="n">
        <v>1</v>
      </c>
      <c r="I7" s="121" t="n">
        <v>1</v>
      </c>
      <c r="J7" s="121">
        <f>SUM(F7:I7)</f>
        <v/>
      </c>
      <c r="K7" s="124" t="n">
        <v>3000</v>
      </c>
      <c r="L7" s="121" t="n">
        <v>120</v>
      </c>
      <c r="M7" s="125" t="n">
        <v>0.7</v>
      </c>
      <c r="N7" s="125">
        <f>IF(M7="",0,M7/168)</f>
        <v/>
      </c>
      <c r="O7" s="121" t="inlineStr">
        <is>
          <t>Active</t>
        </is>
      </c>
    </row>
    <row r="8" ht="15" customHeight="1" s="203">
      <c r="A8" s="116" t="n">
        <v>5</v>
      </c>
      <c r="B8" s="117" t="inlineStr">
        <is>
          <t>Karan Malhotra</t>
        </is>
      </c>
      <c r="C8" s="117" t="inlineStr">
        <is>
          <t>Project Manager</t>
        </is>
      </c>
      <c r="D8" s="117" t="inlineStr">
        <is>
          <t>PMO</t>
        </is>
      </c>
      <c r="E8" s="118" t="inlineStr">
        <is>
          <t>Project Planning, Reporting, Stakeholder</t>
        </is>
      </c>
      <c r="F8" s="116" t="n">
        <v>1</v>
      </c>
      <c r="G8" s="116" t="n">
        <v>1</v>
      </c>
      <c r="H8" s="116" t="n">
        <v>1</v>
      </c>
      <c r="I8" s="116" t="n">
        <v>1</v>
      </c>
      <c r="J8" s="116">
        <f>SUM(F8:I8)</f>
        <v/>
      </c>
      <c r="K8" s="119" t="n">
        <v>5000</v>
      </c>
      <c r="L8" s="116" t="n">
        <v>80</v>
      </c>
      <c r="M8" s="120" t="n">
        <v>0.6</v>
      </c>
      <c r="N8" s="120">
        <f>IF(M8="",0,M8/168)</f>
        <v/>
      </c>
      <c r="O8" s="116" t="inlineStr">
        <is>
          <t>Active</t>
        </is>
      </c>
    </row>
    <row r="9" ht="15" customHeight="1" s="203">
      <c r="A9" s="121" t="n">
        <v>6</v>
      </c>
      <c r="B9" s="122" t="inlineStr">
        <is>
          <t>Deepa Krishnan</t>
        </is>
      </c>
      <c r="C9" s="122" t="inlineStr">
        <is>
          <t>Junior Data Analyst</t>
        </is>
      </c>
      <c r="D9" s="122" t="inlineStr">
        <is>
          <t>BI &amp; Analytics</t>
        </is>
      </c>
      <c r="E9" s="123" t="inlineStr">
        <is>
          <t>TRIM, CLEAN, VLOOKUP, COUNTIF</t>
        </is>
      </c>
      <c r="F9" s="121" t="n">
        <v>1</v>
      </c>
      <c r="G9" s="121" t="n">
        <v>1</v>
      </c>
      <c r="H9" s="121" t="n">
        <v>0</v>
      </c>
      <c r="I9" s="121" t="n">
        <v>0</v>
      </c>
      <c r="J9" s="121">
        <f>SUM(F9:I9)</f>
        <v/>
      </c>
      <c r="K9" s="124" t="n">
        <v>2000</v>
      </c>
      <c r="L9" s="121" t="n">
        <v>80</v>
      </c>
      <c r="M9" s="125" t="n">
        <v>1</v>
      </c>
      <c r="N9" s="125">
        <f>IF(M9="",0,M9/168)</f>
        <v/>
      </c>
      <c r="O9" s="121" t="inlineStr">
        <is>
          <t>Active</t>
        </is>
      </c>
    </row>
    <row r="10" ht="15" customHeight="1" s="203">
      <c r="A10" s="116" t="n">
        <v>7</v>
      </c>
      <c r="B10" s="117" t="inlineStr">
        <is>
          <t>Neha Joshi</t>
        </is>
      </c>
      <c r="C10" s="117" t="inlineStr">
        <is>
          <t>Data Architect</t>
        </is>
      </c>
      <c r="D10" s="117" t="inlineStr">
        <is>
          <t>Data Platform</t>
        </is>
      </c>
      <c r="E10" s="118" t="inlineStr">
        <is>
          <t>Data Modelling, ETL, Schema, Validation</t>
        </is>
      </c>
      <c r="F10" s="116" t="n">
        <v>0</v>
      </c>
      <c r="G10" s="116" t="n">
        <v>0</v>
      </c>
      <c r="H10" s="116" t="n">
        <v>1</v>
      </c>
      <c r="I10" s="116" t="n">
        <v>1</v>
      </c>
      <c r="J10" s="116">
        <f>SUM(F10:I10)</f>
        <v/>
      </c>
      <c r="K10" s="119" t="n">
        <v>5500</v>
      </c>
      <c r="L10" s="116" t="n">
        <v>60</v>
      </c>
      <c r="M10" s="120" t="n">
        <v>0.5</v>
      </c>
      <c r="N10" s="120">
        <f>IF(M10="",0,M10/168)</f>
        <v/>
      </c>
      <c r="O10" s="116" t="inlineStr">
        <is>
          <t>Part-time</t>
        </is>
      </c>
    </row>
    <row r="11" ht="15" customHeight="1" s="203">
      <c r="A11" s="185" t="inlineStr">
        <is>
          <t>TOTALS / AVERAGES</t>
        </is>
      </c>
      <c r="B11" s="218" t="n"/>
      <c r="C11" s="218" t="n"/>
      <c r="D11" s="218" t="n"/>
      <c r="E11" s="218" t="n"/>
      <c r="F11" s="2">
        <f>SUM(F4:F10)</f>
        <v/>
      </c>
      <c r="G11" s="2">
        <f>SUM(G4:G10)</f>
        <v/>
      </c>
      <c r="H11" s="2">
        <f>SUM(H4:H10)</f>
        <v/>
      </c>
      <c r="I11" s="2">
        <f>SUM(I4:I10)</f>
        <v/>
      </c>
      <c r="J11" s="2">
        <f>SUM(J4:J10)</f>
        <v/>
      </c>
      <c r="K11" s="126">
        <f>AVERAGE(K4:K10)</f>
        <v/>
      </c>
      <c r="L11" s="2">
        <f>SUM(L4:L10)</f>
        <v/>
      </c>
      <c r="M11" s="127">
        <f>AVERAGE(M4:M10)</f>
        <v/>
      </c>
      <c r="N11" s="127">
        <f>AVERAGE(N4:N10)</f>
        <v/>
      </c>
      <c r="O11" s="2" t="n"/>
    </row>
    <row r="13" ht="15" customHeight="1" s="203">
      <c r="A13" s="186" t="inlineStr">
        <is>
          <t>WORKLOAD SUMMARY BY PHASE</t>
        </is>
      </c>
      <c r="B13" s="218" t="n"/>
      <c r="C13" s="218" t="n"/>
      <c r="D13" s="218" t="n"/>
      <c r="E13" s="218" t="n"/>
      <c r="F13" s="218" t="n"/>
      <c r="G13" s="218" t="n"/>
      <c r="H13" s="218" t="n"/>
      <c r="I13" s="218" t="n"/>
      <c r="J13" s="218" t="n"/>
      <c r="K13" s="218" t="n"/>
      <c r="L13" s="218" t="n"/>
      <c r="M13" s="218" t="n"/>
      <c r="N13" s="218" t="n"/>
      <c r="O13" s="218" t="n"/>
    </row>
    <row r="14" ht="15" customHeight="1" s="203">
      <c r="A14" s="2" t="inlineStr">
        <is>
          <t>Resource</t>
        </is>
      </c>
      <c r="B14" s="2" t="inlineStr">
        <is>
          <t>Phase 1</t>
        </is>
      </c>
      <c r="C14" s="2" t="inlineStr">
        <is>
          <t>Phase 2</t>
        </is>
      </c>
      <c r="D14" s="2" t="inlineStr">
        <is>
          <t>Phase 3</t>
        </is>
      </c>
      <c r="E14" s="2" t="inlineStr">
        <is>
          <t>Phase 4</t>
        </is>
      </c>
      <c r="F14" s="2" t="inlineStr">
        <is>
          <t>Total Tasks</t>
        </is>
      </c>
      <c r="G14" s="2" t="inlineStr">
        <is>
          <t>Hours</t>
        </is>
      </c>
      <c r="H14" s="2" t="inlineStr">
        <is>
          <t>Util %</t>
        </is>
      </c>
      <c r="J14">
        <f>SUM(F14:I14)</f>
        <v/>
      </c>
      <c r="N14">
        <f>IF(M14="",0,M14/168)</f>
        <v/>
      </c>
      <c r="O14" t="inlineStr">
        <is>
          <t>Active</t>
        </is>
      </c>
    </row>
    <row r="15" ht="15" customHeight="1" s="203">
      <c r="A15" s="117" t="inlineStr">
        <is>
          <t>Priya Sharma</t>
        </is>
      </c>
      <c r="B15" s="116" t="n">
        <v>2</v>
      </c>
      <c r="C15" s="116" t="n">
        <v>2</v>
      </c>
      <c r="D15" s="116" t="n">
        <v>1</v>
      </c>
      <c r="E15" s="116" t="n">
        <v>0</v>
      </c>
      <c r="F15" s="116" t="n">
        <v>5</v>
      </c>
      <c r="G15" s="116" t="n">
        <v>168</v>
      </c>
      <c r="H15" s="120" t="n">
        <v>0.85</v>
      </c>
      <c r="J15">
        <f>SUM(F15:I15)</f>
        <v/>
      </c>
      <c r="N15">
        <f>IF(M15="",0,M15/168)</f>
        <v/>
      </c>
      <c r="O15" t="inlineStr">
        <is>
          <t>Active</t>
        </is>
      </c>
    </row>
    <row r="16" ht="15" customHeight="1" s="203">
      <c r="A16" s="122" t="inlineStr">
        <is>
          <t>Rahul Mehta</t>
        </is>
      </c>
      <c r="B16" s="121" t="n">
        <v>1</v>
      </c>
      <c r="C16" s="121" t="n">
        <v>1</v>
      </c>
      <c r="D16" s="121" t="n">
        <v>1</v>
      </c>
      <c r="E16" s="121" t="n">
        <v>0</v>
      </c>
      <c r="F16" s="121" t="n">
        <v>3</v>
      </c>
      <c r="G16" s="121" t="n">
        <v>140</v>
      </c>
      <c r="H16" s="125" t="n">
        <v>0.78</v>
      </c>
      <c r="J16">
        <f>SUM(F16:I16)</f>
        <v/>
      </c>
      <c r="N16">
        <f>IF(M16="",0,M16/168)</f>
        <v/>
      </c>
      <c r="O16" t="inlineStr">
        <is>
          <t>Active</t>
        </is>
      </c>
    </row>
    <row r="17" ht="15" customHeight="1" s="203">
      <c r="A17" s="117" t="inlineStr">
        <is>
          <t>Amit Roy</t>
        </is>
      </c>
      <c r="B17" s="116" t="n">
        <v>0</v>
      </c>
      <c r="C17" s="116" t="n">
        <v>1</v>
      </c>
      <c r="D17" s="116" t="n">
        <v>1</v>
      </c>
      <c r="E17" s="116" t="n">
        <v>1</v>
      </c>
      <c r="F17" s="116" t="n">
        <v>3</v>
      </c>
      <c r="G17" s="116" t="n">
        <v>160</v>
      </c>
      <c r="H17" s="120" t="n">
        <v>0.9</v>
      </c>
    </row>
    <row r="18" ht="15" customHeight="1" s="203">
      <c r="A18" s="122" t="inlineStr">
        <is>
          <t>Sunita Verma</t>
        </is>
      </c>
      <c r="B18" s="121" t="n">
        <v>0</v>
      </c>
      <c r="C18" s="121" t="n">
        <v>1</v>
      </c>
      <c r="D18" s="121" t="n">
        <v>1</v>
      </c>
      <c r="E18" s="121" t="n">
        <v>1</v>
      </c>
      <c r="F18" s="121" t="n">
        <v>3</v>
      </c>
      <c r="G18" s="121" t="n">
        <v>120</v>
      </c>
      <c r="H18" s="125" t="n">
        <v>0.65</v>
      </c>
    </row>
    <row r="19" ht="15" customHeight="1" s="203">
      <c r="A19" s="117" t="inlineStr">
        <is>
          <t>Karan Malhotra</t>
        </is>
      </c>
      <c r="B19" s="116" t="n">
        <v>1</v>
      </c>
      <c r="C19" s="116" t="n">
        <v>1</v>
      </c>
      <c r="D19" s="116" t="n">
        <v>1</v>
      </c>
      <c r="E19" s="116" t="n">
        <v>1</v>
      </c>
      <c r="F19" s="116" t="n">
        <v>4</v>
      </c>
      <c r="G19" s="116" t="n">
        <v>80</v>
      </c>
      <c r="H19" s="120" t="n">
        <v>0.55</v>
      </c>
      <c r="J19">
        <f>SUM(F19:I19)</f>
        <v/>
      </c>
      <c r="N19">
        <f>IF(M19="",0,M19/168)</f>
        <v/>
      </c>
      <c r="O19" t="inlineStr">
        <is>
          <t>Active</t>
        </is>
      </c>
    </row>
    <row r="20" ht="15" customHeight="1" s="203">
      <c r="A20" s="122" t="inlineStr">
        <is>
          <t>Deepa Krishnan</t>
        </is>
      </c>
      <c r="B20" s="121" t="n">
        <v>1</v>
      </c>
      <c r="C20" s="121" t="n">
        <v>1</v>
      </c>
      <c r="D20" s="121" t="n">
        <v>0</v>
      </c>
      <c r="E20" s="121" t="n">
        <v>0</v>
      </c>
      <c r="F20" s="121" t="n">
        <v>2</v>
      </c>
      <c r="G20" s="121" t="n">
        <v>80</v>
      </c>
      <c r="H20" s="125" t="n">
        <v>0.7</v>
      </c>
      <c r="J20">
        <f>SUM(F20:I20)</f>
        <v/>
      </c>
      <c r="N20">
        <f>IF(M20="",0,M20/168)</f>
        <v/>
      </c>
      <c r="O20" t="inlineStr">
        <is>
          <t>Active</t>
        </is>
      </c>
    </row>
    <row r="21" ht="15" customHeight="1" s="203">
      <c r="A21" s="117" t="inlineStr">
        <is>
          <t>Neha Joshi</t>
        </is>
      </c>
      <c r="B21" s="116" t="n">
        <v>0</v>
      </c>
      <c r="C21" s="116" t="n">
        <v>0</v>
      </c>
      <c r="D21" s="116" t="n">
        <v>1</v>
      </c>
      <c r="E21" s="116" t="n">
        <v>1</v>
      </c>
      <c r="F21" s="116" t="n">
        <v>2</v>
      </c>
      <c r="G21" s="116" t="n">
        <v>60</v>
      </c>
      <c r="H21" s="120" t="n">
        <v>0.45</v>
      </c>
    </row>
  </sheetData>
  <mergeCells count="3">
    <mergeCell ref="A11:E11"/>
    <mergeCell ref="A1:O1"/>
    <mergeCell ref="A13:O13"/>
  </mergeCells>
  <hyperlinks>
    <hyperlink ref="O2" location="'Project Overview'!A1" display="← Back to Project Overview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zoomScaleNormal="100" workbookViewId="0">
      <pane ySplit="3" topLeftCell="A4" activePane="bottomLeft" state="frozen"/>
      <selection activeCell="D24" sqref="D24"/>
      <selection pane="bottomLeft" activeCell="N4" sqref="N4"/>
    </sheetView>
  </sheetViews>
  <sheetFormatPr baseColWidth="8" defaultColWidth="8.7109375" defaultRowHeight="15"/>
  <cols>
    <col width="5" customWidth="1" style="203" min="1" max="1"/>
    <col width="38" customWidth="1" style="203" min="2" max="2"/>
    <col width="10" customWidth="1" style="203" min="3" max="3"/>
    <col width="18" customWidth="1" style="203" min="4" max="4"/>
    <col width="10" customWidth="1" style="203" min="5" max="5"/>
    <col width="12" customWidth="1" style="203" min="6" max="7"/>
    <col width="10" customWidth="1" style="203" min="8" max="8"/>
    <col width="14" customWidth="1" style="203" min="9" max="9"/>
    <col width="11" customWidth="1" style="203" min="10" max="10"/>
    <col width="50" customWidth="1" style="203" min="11" max="11"/>
    <col width="12" customWidth="1" style="203" min="12" max="12"/>
    <col width="14" customWidth="1" style="203" min="13" max="13"/>
    <col width="52" customWidth="1" style="203" min="14" max="14"/>
    <col width="20" customWidth="1" style="203" min="15" max="15"/>
  </cols>
  <sheetData>
    <row r="1" ht="25.5" customHeight="1" s="203">
      <c r="A1" s="184" t="inlineStr">
        <is>
          <t>✅  TASK TRACKER — Data Cleaning for Excel Dashboard  |  Detailed task log with formulas, dependencies, review dates &amp; completion tracking</t>
        </is>
      </c>
    </row>
    <row r="2" ht="15" customHeight="1" s="203">
      <c r="L2" s="214" t="inlineStr">
        <is>
          <t>← Back to Project Overview</t>
        </is>
      </c>
    </row>
    <row r="3" ht="31.5" customHeight="1" s="203">
      <c r="A3" s="38" t="inlineStr">
        <is>
          <t>#</t>
        </is>
      </c>
      <c r="B3" s="38" t="inlineStr">
        <is>
          <t>Technique / Task</t>
        </is>
      </c>
      <c r="C3" s="38" t="inlineStr">
        <is>
          <t>Phase</t>
        </is>
      </c>
      <c r="D3" s="38" t="inlineStr">
        <is>
          <t>Owner</t>
        </is>
      </c>
      <c r="E3" s="38" t="inlineStr">
        <is>
          <t>Priority</t>
        </is>
      </c>
      <c r="F3" s="38" t="inlineStr">
        <is>
          <t>Start Date</t>
        </is>
      </c>
      <c r="G3" s="38" t="inlineStr">
        <is>
          <t>End Date</t>
        </is>
      </c>
      <c r="H3" s="38" t="inlineStr">
        <is>
          <t>Duration</t>
        </is>
      </c>
      <c r="I3" s="38" t="inlineStr">
        <is>
          <t>Status</t>
        </is>
      </c>
      <c r="J3" s="38" t="inlineStr">
        <is>
          <t>% Complete</t>
        </is>
      </c>
      <c r="K3" s="38" t="inlineStr">
        <is>
          <t>Notes / Formula Used</t>
        </is>
      </c>
      <c r="L3" s="38" t="inlineStr">
        <is>
          <t>Dependency</t>
        </is>
      </c>
      <c r="M3" s="38" t="inlineStr">
        <is>
          <t>Review Date</t>
        </is>
      </c>
      <c r="N3" s="15" t="inlineStr">
        <is>
          <t>▶ Live Formula (click me!)</t>
        </is>
      </c>
      <c r="O3" s="128" t="inlineStr">
        <is>
          <t>Sample Data (reference)</t>
        </is>
      </c>
    </row>
    <row r="4" ht="15" customHeight="1" s="203">
      <c r="A4" s="45" t="n">
        <v>1</v>
      </c>
      <c r="B4" s="129" t="inlineStr">
        <is>
          <t>Remove Duplicates — CRM Export Cleaning</t>
        </is>
      </c>
      <c r="C4" s="130" t="inlineStr">
        <is>
          <t>Phase 1</t>
        </is>
      </c>
      <c r="D4" s="45" t="inlineStr">
        <is>
          <t>Priya Sharma</t>
        </is>
      </c>
      <c r="E4" s="45" t="inlineStr">
        <is>
          <t>Critical</t>
        </is>
      </c>
      <c r="F4" s="131" t="n">
        <v>45292</v>
      </c>
      <c r="G4" s="131" t="n">
        <v>45306</v>
      </c>
      <c r="H4" s="45">
        <f>IF(OR(F4="",G4=""),"",G4-F4)</f>
        <v/>
      </c>
      <c r="I4" s="45">
        <f>IFERROR(IF(VALUE(SUBSTITUTE(SUBSTITUTE(J4,"%","")," ",""))&lt;=0,"Not Started",IF(VALUE(SUBSTITUTE(SUBSTITUTE(J4,"%","")," ",""))&gt;=100,"Completed","In Progress")),"Not Started")</f>
        <v/>
      </c>
      <c r="J4" s="48" t="n">
        <v>1</v>
      </c>
      <c r="K4" s="132" t="inlineStr">
        <is>
          <t>COUNTIF($A$2:$A2,A2)&gt;1 | Data &gt; Remove Duplicates</t>
        </is>
      </c>
      <c r="L4" s="45" t="inlineStr">
        <is>
          <t>None</t>
        </is>
      </c>
      <c r="M4" s="131" t="n">
        <v>45308</v>
      </c>
      <c r="N4" s="20">
        <f>COUNTIF($O$4:O4,O4)&gt;1</f>
        <v/>
      </c>
      <c r="O4" s="133" t="inlineStr">
        <is>
          <t>ORD-1001</t>
        </is>
      </c>
    </row>
    <row r="5" ht="15" customHeight="1" s="203">
      <c r="A5" s="45" t="n">
        <v>2</v>
      </c>
      <c r="B5" s="129" t="inlineStr">
        <is>
          <t>Trim Extra Spaces — Customer Name Import</t>
        </is>
      </c>
      <c r="C5" s="130" t="inlineStr">
        <is>
          <t>Phase 1</t>
        </is>
      </c>
      <c r="D5" s="45" t="inlineStr">
        <is>
          <t>Rahul Mehta</t>
        </is>
      </c>
      <c r="E5" s="45" t="inlineStr">
        <is>
          <t>Critical</t>
        </is>
      </c>
      <c r="F5" s="131" t="n">
        <v>45299</v>
      </c>
      <c r="G5" s="131" t="n">
        <v>45309</v>
      </c>
      <c r="H5" s="45">
        <f>IF(OR(F5="",G5=""),"",G5-F5)</f>
        <v/>
      </c>
      <c r="I5" s="45">
        <f>IFERROR(IF(VALUE(SUBSTITUTE(SUBSTITUTE(J5,"%","")," ",""))&lt;=0,"Not Started",IF(VALUE(SUBSTITUTE(SUBSTITUTE(J5,"%","")," ",""))&gt;=100,"Completed","In Progress")),"Not Started")</f>
        <v/>
      </c>
      <c r="J5" s="48" t="n">
        <v>1</v>
      </c>
      <c r="K5" s="132" t="inlineStr">
        <is>
          <t>TRIM(CLEAN(A2))</t>
        </is>
      </c>
      <c r="L5" s="45" t="inlineStr">
        <is>
          <t>Task 1</t>
        </is>
      </c>
      <c r="M5" s="131" t="n">
        <v>45311</v>
      </c>
      <c r="N5" s="20">
        <f>TRIM(CLEAN(O5))</f>
        <v/>
      </c>
      <c r="O5" s="133" t="inlineStr">
        <is>
          <t xml:space="preserve">  Priya  Sharma  </t>
        </is>
      </c>
    </row>
    <row r="6" ht="15" customHeight="1" s="203">
      <c r="A6" s="45" t="n">
        <v>3</v>
      </c>
      <c r="B6" s="129" t="inlineStr">
        <is>
          <t>Standardize Text Case — Region Codes</t>
        </is>
      </c>
      <c r="C6" s="130" t="inlineStr">
        <is>
          <t>Phase 1</t>
        </is>
      </c>
      <c r="D6" s="45" t="inlineStr">
        <is>
          <t>Neha Joshi</t>
        </is>
      </c>
      <c r="E6" s="45" t="inlineStr">
        <is>
          <t>High</t>
        </is>
      </c>
      <c r="F6" s="131" t="n">
        <v>45306</v>
      </c>
      <c r="G6" s="131" t="n">
        <v>45316</v>
      </c>
      <c r="H6" s="45">
        <f>IF(OR(F6="",G6=""),"",G6-F6)</f>
        <v/>
      </c>
      <c r="I6" s="45">
        <f>IFERROR(IF(VALUE(SUBSTITUTE(SUBSTITUTE(J6,"%","")," ",""))&lt;=0,"Not Started",IF(VALUE(SUBSTITUTE(SUBSTITUTE(J6,"%","")," ",""))&gt;=100,"Completed","In Progress")),"Not Started")</f>
        <v/>
      </c>
      <c r="J6" s="48" t="n">
        <v>1</v>
      </c>
      <c r="K6" s="132" t="inlineStr">
        <is>
          <t>PROPER(A2) | UPPER(A2) | LOWER(A2)</t>
        </is>
      </c>
      <c r="L6" s="45" t="inlineStr">
        <is>
          <t>Task 2</t>
        </is>
      </c>
      <c r="M6" s="131" t="n">
        <v>45318</v>
      </c>
      <c r="N6" s="20">
        <f>PROPER(O6)</f>
        <v/>
      </c>
      <c r="O6" s="133" t="inlineStr">
        <is>
          <t>north west</t>
        </is>
      </c>
    </row>
    <row r="7" ht="15" customHeight="1" s="203">
      <c r="A7" s="45" t="n">
        <v>4</v>
      </c>
      <c r="B7" s="129" t="inlineStr">
        <is>
          <t>Fix Date Formats — Legacy System Dates</t>
        </is>
      </c>
      <c r="C7" s="134" t="inlineStr">
        <is>
          <t>Phase 2</t>
        </is>
      </c>
      <c r="D7" s="45" t="inlineStr">
        <is>
          <t>Amit Roy</t>
        </is>
      </c>
      <c r="E7" s="45" t="inlineStr">
        <is>
          <t>Critical</t>
        </is>
      </c>
      <c r="F7" s="131" t="n">
        <v>45320</v>
      </c>
      <c r="G7" s="131" t="n">
        <v>45334</v>
      </c>
      <c r="H7" s="45">
        <f>IF(OR(F7="",G7=""),"",G7-F7)</f>
        <v/>
      </c>
      <c r="I7" s="45">
        <f>IFERROR(IF(VALUE(SUBSTITUTE(SUBSTITUTE(J7,"%","")," ",""))&lt;=0,"Not Started",IF(VALUE(SUBSTITUTE(SUBSTITUTE(J7,"%","")," ",""))&gt;=100,"Completed","In Progress")),"Not Started")</f>
        <v/>
      </c>
      <c r="J7" s="48" t="n">
        <v>1</v>
      </c>
      <c r="K7" s="132" t="inlineStr">
        <is>
          <t>DATEVALUE(A2) | DATE(RIGHT,MID,LEFT)</t>
        </is>
      </c>
      <c r="L7" s="45" t="inlineStr">
        <is>
          <t>Task 3</t>
        </is>
      </c>
      <c r="M7" s="131" t="n">
        <v>45336</v>
      </c>
      <c r="N7" s="20">
        <f>DATEVALUE(O7)</f>
        <v/>
      </c>
      <c r="O7" s="133" t="inlineStr">
        <is>
          <t>2024-01-29</t>
        </is>
      </c>
    </row>
    <row r="8" ht="15" customHeight="1" s="203">
      <c r="A8" s="45" t="n">
        <v>5</v>
      </c>
      <c r="B8" s="129" t="inlineStr">
        <is>
          <t>Handle Missing Values — Customer Database</t>
        </is>
      </c>
      <c r="C8" s="134" t="inlineStr">
        <is>
          <t>Phase 2</t>
        </is>
      </c>
      <c r="D8" s="45" t="inlineStr">
        <is>
          <t>Sunita Verma</t>
        </is>
      </c>
      <c r="E8" s="45" t="inlineStr">
        <is>
          <t>High</t>
        </is>
      </c>
      <c r="F8" s="131" t="n">
        <v>45327</v>
      </c>
      <c r="G8" s="131" t="n">
        <v>45341</v>
      </c>
      <c r="H8" s="45">
        <f>IF(OR(F8="",G8=""),"",G8-F8)</f>
        <v/>
      </c>
      <c r="I8" s="45">
        <f>IFERROR(IF(VALUE(SUBSTITUTE(SUBSTITUTE(J8,"%","")," ",""))&lt;=0,"Not Started",IF(VALUE(SUBSTITUTE(SUBSTITUTE(J8,"%","")," ",""))&gt;=100,"Completed","In Progress")),"Not Started")</f>
        <v/>
      </c>
      <c r="J8" s="48" t="n">
        <v>1</v>
      </c>
      <c r="K8" s="132" t="inlineStr">
        <is>
          <t>IF(ISBLANK(A2),"Unknown",A2)</t>
        </is>
      </c>
      <c r="L8" s="45" t="inlineStr">
        <is>
          <t>Task 4</t>
        </is>
      </c>
      <c r="M8" s="131" t="n">
        <v>45343</v>
      </c>
      <c r="N8" s="20">
        <f>IF(O8="","Unknown",O8)</f>
        <v/>
      </c>
      <c r="O8" s="133" t="n"/>
    </row>
    <row r="9" ht="15" customHeight="1" s="203">
      <c r="A9" s="50" t="n">
        <v>6</v>
      </c>
      <c r="B9" s="135" t="inlineStr">
        <is>
          <t>Split Combined Columns — Contact Database</t>
        </is>
      </c>
      <c r="C9" s="134" t="inlineStr">
        <is>
          <t>Phase 2</t>
        </is>
      </c>
      <c r="D9" s="50" t="inlineStr">
        <is>
          <t>Karan Malhotra</t>
        </is>
      </c>
      <c r="E9" s="50" t="inlineStr">
        <is>
          <t>Medium</t>
        </is>
      </c>
      <c r="F9" s="136" t="n">
        <v>45334</v>
      </c>
      <c r="G9" s="136" t="n">
        <v>45346</v>
      </c>
      <c r="H9" s="50">
        <f>IF(OR(F9="",G9=""),"",G9-F9)</f>
        <v/>
      </c>
      <c r="I9" s="50">
        <f>IFERROR(IF(VALUE(SUBSTITUTE(SUBSTITUTE(J9,"%","")," ",""))&lt;=0,"Not Started",IF(VALUE(SUBSTITUTE(SUBSTITUTE(J9,"%","")," ",""))&gt;=100,"Completed","In Progress")),"Not Started")</f>
        <v/>
      </c>
      <c r="J9" s="53" t="n">
        <v>0.65</v>
      </c>
      <c r="K9" s="137" t="inlineStr">
        <is>
          <t>LEFT(A2,FIND(" ",A2)-1) | MID(A2,FIND(...))</t>
        </is>
      </c>
      <c r="L9" s="50" t="inlineStr">
        <is>
          <t>Task 5</t>
        </is>
      </c>
      <c r="M9" s="136" t="n">
        <v>45348</v>
      </c>
      <c r="N9" s="20">
        <f>LEFT(O9,FIND(" ",O9)-1)</f>
        <v/>
      </c>
      <c r="O9" s="133" t="inlineStr">
        <is>
          <t>Karan Malhotra</t>
        </is>
      </c>
    </row>
    <row r="10" ht="15" customHeight="1" s="203">
      <c r="A10" s="50" t="n">
        <v>7</v>
      </c>
      <c r="B10" s="135" t="inlineStr">
        <is>
          <t>Remove Non-Numeric Chars — Revenue Data</t>
        </is>
      </c>
      <c r="C10" s="138" t="inlineStr">
        <is>
          <t>Phase 3</t>
        </is>
      </c>
      <c r="D10" s="50" t="inlineStr">
        <is>
          <t>Amit Roy</t>
        </is>
      </c>
      <c r="E10" s="50" t="inlineStr">
        <is>
          <t>Critical</t>
        </is>
      </c>
      <c r="F10" s="136" t="n">
        <v>45355</v>
      </c>
      <c r="G10" s="136" t="n">
        <v>45369</v>
      </c>
      <c r="H10" s="50">
        <f>IF(OR(F10="",G10=""),"",G10-F10)</f>
        <v/>
      </c>
      <c r="I10" s="50">
        <f>IFERROR(IF(VALUE(SUBSTITUTE(SUBSTITUTE(J10,"%","")," ",""))&lt;=0,"Not Started",IF(VALUE(SUBSTITUTE(SUBSTITUTE(J10,"%","")," ",""))&gt;=100,"Completed","In Progress")),"Not Started")</f>
        <v/>
      </c>
      <c r="J10" s="53" t="n">
        <v>0.4</v>
      </c>
      <c r="K10" s="137" t="inlineStr">
        <is>
          <t>VALUE(SUBSTITUTE(SUBSTITUTE(A2,"Rs. ",""),",",""))</t>
        </is>
      </c>
      <c r="L10" s="50" t="inlineStr">
        <is>
          <t>Task 6</t>
        </is>
      </c>
      <c r="M10" s="136" t="n">
        <v>45371</v>
      </c>
      <c r="N10" s="31">
        <f>VALUE(SUBSTITUTE(SUBSTITUTE(O10,"Rs. ",""),",",""))</f>
        <v/>
      </c>
      <c r="O10" s="133" t="inlineStr">
        <is>
          <t>Rs. 1,50,000</t>
        </is>
      </c>
    </row>
    <row r="11" ht="15" customHeight="1" s="203">
      <c r="A11" s="55" t="n">
        <v>8</v>
      </c>
      <c r="B11" s="139" t="inlineStr">
        <is>
          <t>Validate Data Ranges — HR Age Dataset</t>
        </is>
      </c>
      <c r="C11" s="138" t="inlineStr">
        <is>
          <t>Phase 3</t>
        </is>
      </c>
      <c r="D11" s="55" t="inlineStr">
        <is>
          <t>Pooja Iyer</t>
        </is>
      </c>
      <c r="E11" s="55" t="inlineStr">
        <is>
          <t>High</t>
        </is>
      </c>
      <c r="F11" s="140" t="n">
        <v>45362</v>
      </c>
      <c r="G11" s="140" t="n">
        <v>45376</v>
      </c>
      <c r="H11" s="55">
        <f>IF(OR(F11="",G11=""),"",G11-F11)</f>
        <v/>
      </c>
      <c r="I11" s="55">
        <f>IFERROR(IF(VALUE(SUBSTITUTE(SUBSTITUTE(J11,"%","")," ",""))&lt;=0,"Not Started",IF(VALUE(SUBSTITUTE(SUBSTITUTE(J11,"%","")," ",""))&gt;=100,"Completed","In Progress")),"Not Started")</f>
        <v/>
      </c>
      <c r="J11" s="58" t="n">
        <v>0</v>
      </c>
      <c r="K11" s="141" t="inlineStr">
        <is>
          <t>IF(AND(A2&gt;=18,A2&lt;=65),"Valid","Invalid")</t>
        </is>
      </c>
      <c r="L11" s="55" t="inlineStr">
        <is>
          <t>Task 7</t>
        </is>
      </c>
      <c r="M11" s="140" t="n">
        <v>45378</v>
      </c>
      <c r="N11" s="20">
        <f>IF(AND(O11&gt;=18,O11&lt;=65),"Valid","Invalid")</f>
        <v/>
      </c>
      <c r="O11" s="133" t="n">
        <v>45</v>
      </c>
    </row>
    <row r="12" ht="15" customHeight="1" s="203">
      <c r="A12" s="55" t="n">
        <v>9</v>
      </c>
      <c r="B12" s="139" t="inlineStr">
        <is>
          <t>Standardize Category Labels — Product SKU</t>
        </is>
      </c>
      <c r="C12" s="138" t="inlineStr">
        <is>
          <t>Phase 3</t>
        </is>
      </c>
      <c r="D12" s="55" t="inlineStr">
        <is>
          <t>Siddharth Rao</t>
        </is>
      </c>
      <c r="E12" s="55" t="inlineStr">
        <is>
          <t>High</t>
        </is>
      </c>
      <c r="F12" s="140" t="n">
        <v>45369</v>
      </c>
      <c r="G12" s="140" t="n">
        <v>45383</v>
      </c>
      <c r="H12" s="55">
        <f>IF(OR(F12="",G12=""),"",G12-F12)</f>
        <v/>
      </c>
      <c r="I12" s="55">
        <f>IFERROR(IF(VALUE(SUBSTITUTE(SUBSTITUTE(J12,"%","")," ",""))&lt;=0,"Not Started",IF(VALUE(SUBSTITUTE(SUBSTITUTE(J12,"%","")," ",""))&gt;=100,"Completed","In Progress")),"Not Started")</f>
        <v/>
      </c>
      <c r="J12" s="58" t="n">
        <v>0</v>
      </c>
      <c r="K12" s="141" t="inlineStr">
        <is>
          <t>IFERROR(VLOOKUP(UPPER(A2),MapTable,2,0),PROPER(A2))</t>
        </is>
      </c>
      <c r="L12" s="55" t="inlineStr">
        <is>
          <t>Task 8</t>
        </is>
      </c>
      <c r="M12" s="140" t="n">
        <v>45385</v>
      </c>
      <c r="N12" s="20">
        <f>PROPER(UPPER(O12))</f>
        <v/>
      </c>
      <c r="O12" s="133" t="inlineStr">
        <is>
          <t>electronics</t>
        </is>
      </c>
    </row>
    <row r="13" ht="15" customHeight="1" s="203">
      <c r="A13" s="55" t="n">
        <v>10</v>
      </c>
      <c r="B13" s="139" t="inlineStr">
        <is>
          <t>Combine &amp; Reconcile Columns — Address</t>
        </is>
      </c>
      <c r="C13" s="142" t="inlineStr">
        <is>
          <t>Phase 4</t>
        </is>
      </c>
      <c r="D13" s="55" t="inlineStr">
        <is>
          <t>Vikram Nair</t>
        </is>
      </c>
      <c r="E13" s="55" t="inlineStr">
        <is>
          <t>Medium</t>
        </is>
      </c>
      <c r="F13" s="140" t="n">
        <v>45397</v>
      </c>
      <c r="G13" s="140" t="n">
        <v>45411</v>
      </c>
      <c r="H13" s="55">
        <f>IF(OR(F13="",G13=""),"",G13-F13)</f>
        <v/>
      </c>
      <c r="I13" s="55">
        <f>IFERROR(IF(VALUE(SUBSTITUTE(SUBSTITUTE(J13,"%","")," ",""))&lt;=0,"Not Started",IF(VALUE(SUBSTITUTE(SUBSTITUTE(J13,"%","")," ",""))&gt;=100,"Completed","In Progress")),"Not Started")</f>
        <v/>
      </c>
      <c r="J13" s="58" t="n">
        <v>0</v>
      </c>
      <c r="K13" s="141" t="inlineStr">
        <is>
          <t>TEXTJOIN(", ",TRUE,B2,C2,D2)</t>
        </is>
      </c>
      <c r="L13" s="55" t="inlineStr">
        <is>
          <t>Task 9</t>
        </is>
      </c>
      <c r="M13" s="140" t="n">
        <v>45413</v>
      </c>
      <c r="N13" s="20">
        <f>O13&amp;", Mumbai, 400001"</f>
        <v/>
      </c>
      <c r="O13" s="133" t="inlineStr">
        <is>
          <t>123 Main St</t>
        </is>
      </c>
    </row>
    <row r="16">
      <c r="A16" t="inlineStr">
        <is>
          <t>ADDED VALUE DETAILS</t>
        </is>
      </c>
      <c r="F16" t="inlineStr">
        <is>
          <t>STATUS SUMMARY</t>
        </is>
      </c>
    </row>
    <row r="17">
      <c r="A17" s="38" t="inlineStr">
        <is>
          <t>Name</t>
        </is>
      </c>
      <c r="B17" s="38" t="inlineStr">
        <is>
          <t>Column</t>
        </is>
      </c>
      <c r="C17" s="38" t="inlineStr">
        <is>
          <t>Detail</t>
        </is>
      </c>
      <c r="D17" s="38" t="inlineStr">
        <is>
          <t>Value</t>
        </is>
      </c>
      <c r="F17" s="38" t="inlineStr">
        <is>
          <t>Status</t>
        </is>
      </c>
      <c r="G17" s="38" t="inlineStr">
        <is>
          <t>Count</t>
        </is>
      </c>
    </row>
    <row r="18">
      <c r="A18" s="45" t="inlineStr">
        <is>
          <t>Duplicate Count</t>
        </is>
      </c>
      <c r="B18" s="45" t="inlineStr">
        <is>
          <t>B</t>
        </is>
      </c>
      <c r="C18" s="45" t="inlineStr">
        <is>
          <t>Duplicate names in tasks</t>
        </is>
      </c>
      <c r="D18" s="225">
        <f>IFERROR(SUMPRODUCT((COUNTIF($B$4:$B$500,$B$4:$B$500)&gt;1)*1)/2,0)</f>
        <v/>
      </c>
      <c r="F18" s="45" t="inlineStr">
        <is>
          <t>Completed</t>
        </is>
      </c>
      <c r="G18" s="45">
        <f>COUNTIF('Cleaned Data'!$I$4:$I$500,"Completed")</f>
        <v/>
      </c>
    </row>
    <row r="19">
      <c r="A19" s="45" t="inlineStr">
        <is>
          <t>Avg Revenue (K)</t>
        </is>
      </c>
      <c r="B19" s="45" t="inlineStr">
        <is>
          <t>N</t>
        </is>
      </c>
      <c r="C19" s="45" t="inlineStr">
        <is>
          <t>Average cleaned revenue / 1000</t>
        </is>
      </c>
      <c r="D19" s="225">
        <f>IFERROR(ROUND(AVERAGE('Cleaned Data'!$N$4:$N$500)/1000,2),0)</f>
        <v/>
      </c>
      <c r="F19" s="45" t="inlineStr">
        <is>
          <t>In Progress</t>
        </is>
      </c>
      <c r="G19" s="45">
        <f>COUNTIF('Cleaned Data'!$I$4:$I$500,"In Progress")</f>
        <v/>
      </c>
    </row>
    <row r="20">
      <c r="A20" s="45" t="inlineStr">
        <is>
          <t>Total Revenue (Lakh)</t>
        </is>
      </c>
      <c r="B20" s="45" t="inlineStr">
        <is>
          <t>N</t>
        </is>
      </c>
      <c r="C20" s="45" t="inlineStr">
        <is>
          <t>Total cleaned revenue / 100000</t>
        </is>
      </c>
      <c r="D20" s="225">
        <f>IFERROR(ROUND(SUM('Cleaned Data'!$N$4:$N$500)/100000,2),0)</f>
        <v/>
      </c>
      <c r="F20" s="45" t="inlineStr">
        <is>
          <t>Not Started</t>
        </is>
      </c>
      <c r="G20" s="45">
        <f>COUNTIF('Cleaned Data'!$I$4:$I$500,"Not Started")</f>
        <v/>
      </c>
    </row>
    <row r="21">
      <c r="A21" s="45" t="inlineStr">
        <is>
          <t>Completion %</t>
        </is>
      </c>
      <c r="B21" s="45" t="inlineStr">
        <is>
          <t>I</t>
        </is>
      </c>
      <c r="C21" s="45" t="inlineStr">
        <is>
          <t>Completed tasks ratio x 100</t>
        </is>
      </c>
      <c r="D21" s="225">
        <f>IFERROR(ROUND((COUNTIF('Cleaned Data'!$I$4:$I$500,"Completed")/COUNTA('Cleaned Data'!$A$4:$A$500))*100,2),0)</f>
        <v/>
      </c>
    </row>
    <row r="22">
      <c r="A22" s="45" t="inlineStr">
        <is>
          <t>On Track %</t>
        </is>
      </c>
      <c r="B22" s="45" t="inlineStr">
        <is>
          <t>P</t>
        </is>
      </c>
      <c r="C22" s="45" t="inlineStr">
        <is>
          <t>On-track tasks ratio x 100</t>
        </is>
      </c>
      <c r="D22" s="225">
        <f>IFERROR(ROUND((COUNTIF('Cleaned Data'!$P$4:$P$500,"On Track")/COUNTA('Cleaned Data'!$A$4:$A$500))*100,2),0)</f>
        <v/>
      </c>
    </row>
  </sheetData>
  <mergeCells count="1">
    <mergeCell ref="A1:L1"/>
  </mergeCells>
  <hyperlinks>
    <hyperlink ref="L2" location="'Project Overview'!A1" display="← Back to Project Overview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zoomScaleNormal="100" workbookViewId="0">
      <pane ySplit="3" topLeftCell="A4" activePane="bottomLeft" state="frozen"/>
      <selection activeCell="D24" sqref="D24"/>
      <selection pane="bottomLeft" activeCell="J10" sqref="J10"/>
    </sheetView>
  </sheetViews>
  <sheetFormatPr baseColWidth="8" defaultColWidth="8.7109375" defaultRowHeight="15"/>
  <cols>
    <col width="15.7109375" customWidth="1" style="203" min="1" max="1"/>
    <col width="26.28515625" customWidth="1" style="203" min="2" max="2"/>
    <col width="42" customWidth="1" style="203" min="3" max="3"/>
    <col width="20" customWidth="1" style="203" min="4" max="4"/>
    <col width="14" customWidth="1" style="203" min="5" max="6"/>
  </cols>
  <sheetData>
    <row r="1" ht="25.5" customHeight="1" s="203">
      <c r="A1" s="184" t="inlineStr">
        <is>
          <t>📋  DASHBOARD READINESS CHECKLIST — Pre-Deployment Quality Gate  |  Verify all 10 items before connecting cleaned dataset to the Excel Dashboard</t>
        </is>
      </c>
    </row>
    <row r="2" ht="17.25" customHeight="1" s="203">
      <c r="F2" s="214" t="inlineStr">
        <is>
          <t>← Back to Project Overview</t>
        </is>
      </c>
    </row>
    <row r="3" ht="27.75" customHeight="1" s="203">
      <c r="A3" s="38" t="inlineStr">
        <is>
          <t>#</t>
        </is>
      </c>
      <c r="B3" s="38" t="inlineStr">
        <is>
          <t>Checklist Item</t>
        </is>
      </c>
      <c r="C3" s="38" t="inlineStr">
        <is>
          <t>How to Verify</t>
        </is>
      </c>
      <c r="D3" s="38" t="inlineStr">
        <is>
          <t>Responsible</t>
        </is>
      </c>
      <c r="E3" s="38" t="inlineStr">
        <is>
          <t>Due Date</t>
        </is>
      </c>
      <c r="F3" s="38" t="inlineStr">
        <is>
          <t>Status</t>
        </is>
      </c>
    </row>
    <row r="4" ht="15" customHeight="1" s="203">
      <c r="A4" s="164" t="n">
        <v>1</v>
      </c>
      <c r="B4" s="165" t="inlineStr">
        <is>
          <t>No duplicate rows</t>
        </is>
      </c>
      <c r="C4" s="166" t="inlineStr">
        <is>
          <t>COUNTIF on key column — all values = 1</t>
        </is>
      </c>
      <c r="D4" s="164" t="inlineStr">
        <is>
          <t>Priya Sharma</t>
        </is>
      </c>
      <c r="E4" s="167" t="n">
        <v>45313</v>
      </c>
      <c r="F4" s="164" t="inlineStr">
        <is>
          <t>Completed</t>
        </is>
      </c>
    </row>
    <row r="5" ht="15" customHeight="1" s="203">
      <c r="A5" s="164" t="n">
        <v>2</v>
      </c>
      <c r="B5" s="165" t="inlineStr">
        <is>
          <t>No extra spaces in text fields</t>
        </is>
      </c>
      <c r="C5" s="166" t="inlineStr">
        <is>
          <t>LEN(TRIM(A2))=LEN(A2) is TRUE for all rows</t>
        </is>
      </c>
      <c r="D5" s="164" t="inlineStr">
        <is>
          <t>Rahul Mehta</t>
        </is>
      </c>
      <c r="E5" s="167" t="n">
        <v>45313</v>
      </c>
      <c r="F5" s="164" t="inlineStr">
        <is>
          <t>Completed</t>
        </is>
      </c>
    </row>
    <row r="6" ht="15" customHeight="1" s="203">
      <c r="A6" s="164" t="n">
        <v>3</v>
      </c>
      <c r="B6" s="165" t="inlineStr">
        <is>
          <t>Consistent text casing</t>
        </is>
      </c>
      <c r="C6" s="166" t="inlineStr">
        <is>
          <t>Unique values in category cols match expected list</t>
        </is>
      </c>
      <c r="D6" s="164" t="inlineStr">
        <is>
          <t>Neha Joshi</t>
        </is>
      </c>
      <c r="E6" s="167" t="n">
        <v>45327</v>
      </c>
      <c r="F6" s="164" t="inlineStr">
        <is>
          <t>Completed</t>
        </is>
      </c>
    </row>
    <row r="7" ht="15" customHeight="1" s="203">
      <c r="A7" s="164" t="n">
        <v>4</v>
      </c>
      <c r="B7" s="165" t="inlineStr">
        <is>
          <t>All dates are true date serials</t>
        </is>
      </c>
      <c r="C7" s="166" t="inlineStr">
        <is>
          <t>ISNUMBER(A2)=TRUE for all date cells</t>
        </is>
      </c>
      <c r="D7" s="164" t="inlineStr">
        <is>
          <t>Amit Roy</t>
        </is>
      </c>
      <c r="E7" s="167" t="n">
        <v>45327</v>
      </c>
      <c r="F7" s="164" t="inlineStr">
        <is>
          <t>Completed</t>
        </is>
      </c>
    </row>
    <row r="8" ht="15" customHeight="1" s="203">
      <c r="A8" s="164" t="n">
        <v>5</v>
      </c>
      <c r="B8" s="165" t="inlineStr">
        <is>
          <t>No unexpected blank cells</t>
        </is>
      </c>
      <c r="C8" s="166" t="inlineStr">
        <is>
          <t>COUNTBLANK returns 0 for all mandatory columns</t>
        </is>
      </c>
      <c r="D8" s="164" t="inlineStr">
        <is>
          <t>Sunita Verma</t>
        </is>
      </c>
      <c r="E8" s="167" t="n">
        <v>45341</v>
      </c>
      <c r="F8" s="164" t="inlineStr">
        <is>
          <t>Completed</t>
        </is>
      </c>
    </row>
    <row r="9" ht="15" customHeight="1" s="203">
      <c r="A9" s="168" t="n">
        <v>6</v>
      </c>
      <c r="B9" s="169" t="inlineStr">
        <is>
          <t>All numeric fields are numbers</t>
        </is>
      </c>
      <c r="C9" s="170" t="inlineStr">
        <is>
          <t>ISNUMBER returns TRUE; no left-aligned numbers</t>
        </is>
      </c>
      <c r="D9" s="168" t="inlineStr">
        <is>
          <t>Karan Malhotra</t>
        </is>
      </c>
      <c r="E9" s="171" t="n">
        <v>45358</v>
      </c>
      <c r="F9" s="168" t="inlineStr">
        <is>
          <t>In Progress</t>
        </is>
      </c>
    </row>
    <row r="10" ht="15" customHeight="1" s="203">
      <c r="A10" s="168" t="n">
        <v>7</v>
      </c>
      <c r="B10" s="169" t="inlineStr">
        <is>
          <t>Category labels standardised</t>
        </is>
      </c>
      <c r="C10" s="170" t="inlineStr">
        <is>
          <t>Pivot on category col; unique count matches expected</t>
        </is>
      </c>
      <c r="D10" s="168" t="inlineStr">
        <is>
          <t>Siddharth Rao</t>
        </is>
      </c>
      <c r="E10" s="171" t="n">
        <v>45372</v>
      </c>
      <c r="F10" s="168" t="inlineStr">
        <is>
          <t>In Progress</t>
        </is>
      </c>
    </row>
    <row r="11" ht="15" customHeight="1" s="203">
      <c r="A11" s="172" t="n">
        <v>8</v>
      </c>
      <c r="B11" s="173" t="inlineStr">
        <is>
          <t>No out-of-range values</t>
        </is>
      </c>
      <c r="C11" s="174" t="inlineStr">
        <is>
          <t>MIN and MAX match expected bounds for each numeric col</t>
        </is>
      </c>
      <c r="D11" s="172" t="inlineStr">
        <is>
          <t>Pooja Iyer</t>
        </is>
      </c>
      <c r="E11" s="175" t="n">
        <v>45372</v>
      </c>
      <c r="F11" s="176" t="inlineStr">
        <is>
          <t>Not Started</t>
        </is>
      </c>
    </row>
    <row r="12" ht="15" customHeight="1" s="203">
      <c r="A12" s="172" t="n">
        <v>9</v>
      </c>
      <c r="B12" s="173" t="inlineStr">
        <is>
          <t>Data formatted as Excel Table</t>
        </is>
      </c>
      <c r="C12" s="174" t="inlineStr">
        <is>
          <t>Ctrl+T applied — enables dynamic named ranges</t>
        </is>
      </c>
      <c r="D12" s="172" t="inlineStr">
        <is>
          <t>Deepa Krishnan</t>
        </is>
      </c>
      <c r="E12" s="175" t="n">
        <v>45387</v>
      </c>
      <c r="F12" s="176" t="inlineStr">
        <is>
          <t>Not Started</t>
        </is>
      </c>
    </row>
    <row r="13" ht="21.75" customHeight="1" s="203">
      <c r="A13" s="164" t="n">
        <v>10</v>
      </c>
      <c r="B13" s="165" t="inlineStr">
        <is>
          <t>Backup of raw data retained</t>
        </is>
      </c>
      <c r="C13" s="166" t="inlineStr">
        <is>
          <t>Original sheet or workbook copy preserved before cleaning</t>
        </is>
      </c>
      <c r="D13" s="164" t="inlineStr">
        <is>
          <t>Vikram Nair</t>
        </is>
      </c>
      <c r="E13" s="167" t="n">
        <v>45292</v>
      </c>
      <c r="F13" s="164" t="inlineStr">
        <is>
          <t>Completed</t>
        </is>
      </c>
    </row>
    <row r="14" ht="15.75" customHeight="1" s="203"/>
    <row r="15" hidden="1" ht="39.75" customHeight="1" s="203">
      <c r="A15" s="210" t="n"/>
      <c r="B15" s="218" t="n"/>
      <c r="C15" s="218" t="n"/>
      <c r="D15" s="218" t="n"/>
      <c r="E15" s="218" t="n"/>
      <c r="F15" s="218" t="n"/>
    </row>
    <row r="16" ht="8.25" customHeight="1" s="203"/>
    <row r="17" ht="15" customHeight="1" s="203">
      <c r="A17" s="177" t="inlineStr">
        <is>
          <t>STATUS SUMMARY</t>
        </is>
      </c>
      <c r="B17" s="177" t="inlineStr">
        <is>
          <t>Count</t>
        </is>
      </c>
    </row>
    <row r="18" ht="15" customHeight="1" s="203">
      <c r="A18" s="178" t="inlineStr">
        <is>
          <t>Completed</t>
        </is>
      </c>
      <c r="B18" s="178" t="n">
        <v>5</v>
      </c>
    </row>
    <row r="19" ht="15" customHeight="1" s="203">
      <c r="A19" s="178" t="inlineStr">
        <is>
          <t>In Progress</t>
        </is>
      </c>
      <c r="B19" s="178" t="n">
        <v>2</v>
      </c>
    </row>
    <row r="20" ht="15" customHeight="1" s="203">
      <c r="A20" s="178" t="inlineStr">
        <is>
          <t>Not Started</t>
        </is>
      </c>
      <c r="B20" s="178" t="n">
        <v>3</v>
      </c>
    </row>
  </sheetData>
  <mergeCells count="2">
    <mergeCell ref="A1:F1"/>
    <mergeCell ref="A15:F15"/>
  </mergeCells>
  <hyperlinks>
    <hyperlink ref="F2" location="'Project Overview'!A1" display="← Back to Project Overview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2026-05-19T06:36:09Z</dcterms:created>
  <dcterms:modified xsi:type="dcterms:W3CDTF">2026-05-19T19:19:51Z</dcterms:modified>
  <cp:lastModifiedBy>Anudip</cp:lastModifiedBy>
  <cp:revision>4</cp:revision>
</cp:coreProperties>
</file>