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787FB7EE-BD23-43CD-AB27-617EB92EA075}" xr6:coauthVersionLast="47" xr6:coauthVersionMax="47" xr10:uidLastSave="{00000000-0000-0000-0000-000000000000}"/>
  <bookViews>
    <workbookView xWindow="-120" yWindow="-120" windowWidth="24240" windowHeight="13740" tabRatio="689" xr2:uid="{00000000-000D-0000-FFFF-FFFF00000000}"/>
  </bookViews>
  <sheets>
    <sheet name="Welcome" sheetId="11" r:id="rId1"/>
    <sheet name="Project Overview" sheetId="2" r:id="rId2"/>
    <sheet name="Raw Data" sheetId="3" r:id="rId3"/>
    <sheet name="Cleaned Data" sheetId="4" r:id="rId4"/>
    <sheet name="Gantt Chart" sheetId="5" r:id="rId5"/>
    <sheet name="Resource Planner" sheetId="6" r:id="rId6"/>
    <sheet name="Task Tracker" sheetId="7" r:id="rId7"/>
    <sheet name="Checklist" sheetId="8" state="hidden" r:id="rId8"/>
    <sheet name=" Dashboard" sheetId="9" state="hidden" r:id="rId9"/>
    <sheet name="Dashboard_1" sheetId="1" r:id="rId10"/>
    <sheet name="KPI" sheetId="10" r:id="rId11"/>
  </sheets>
  <definedNames>
    <definedName name="_xlnm._FilterDatabase" localSheetId="3" hidden="1">'Cleaned Data'!$A$3:$P$153</definedName>
    <definedName name="_xlnm._FilterDatabase" localSheetId="2" hidden="1">'Raw Data'!$A$3:$O$153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10" l="1"/>
  <c r="K26" i="10"/>
  <c r="K25" i="10"/>
  <c r="K24" i="10"/>
  <c r="D24" i="10"/>
  <c r="K23" i="10"/>
  <c r="D23" i="10"/>
  <c r="K22" i="10"/>
  <c r="D22" i="10"/>
  <c r="K21" i="10"/>
  <c r="D21" i="10"/>
  <c r="H17" i="10"/>
  <c r="F17" i="10"/>
  <c r="B17" i="10"/>
  <c r="H12" i="10"/>
  <c r="F12" i="10"/>
  <c r="B20" i="8"/>
  <c r="B19" i="8"/>
  <c r="B18" i="8"/>
  <c r="D18" i="7"/>
  <c r="N13" i="7"/>
  <c r="I13" i="7"/>
  <c r="H13" i="7"/>
  <c r="N12" i="7"/>
  <c r="I12" i="7"/>
  <c r="H12" i="7"/>
  <c r="N11" i="7"/>
  <c r="I11" i="7"/>
  <c r="H11" i="7"/>
  <c r="N10" i="7"/>
  <c r="I10" i="7"/>
  <c r="H10" i="7"/>
  <c r="N9" i="7"/>
  <c r="I9" i="7"/>
  <c r="H9" i="7"/>
  <c r="N8" i="7"/>
  <c r="I8" i="7"/>
  <c r="H8" i="7"/>
  <c r="N7" i="7"/>
  <c r="I7" i="7"/>
  <c r="H7" i="7"/>
  <c r="N6" i="7"/>
  <c r="I6" i="7"/>
  <c r="H6" i="7"/>
  <c r="N5" i="7"/>
  <c r="I5" i="7"/>
  <c r="H5" i="7"/>
  <c r="N4" i="7"/>
  <c r="I4" i="7"/>
  <c r="H4" i="7"/>
  <c r="M11" i="6"/>
  <c r="L11" i="6"/>
  <c r="K11" i="6"/>
  <c r="I11" i="6"/>
  <c r="H11" i="6"/>
  <c r="G11" i="6"/>
  <c r="F11" i="6"/>
  <c r="N10" i="6"/>
  <c r="J10" i="6"/>
  <c r="N9" i="6"/>
  <c r="J9" i="6"/>
  <c r="N8" i="6"/>
  <c r="J8" i="6"/>
  <c r="N7" i="6"/>
  <c r="J7" i="6"/>
  <c r="N6" i="6"/>
  <c r="J6" i="6"/>
  <c r="N5" i="6"/>
  <c r="J5" i="6"/>
  <c r="N4" i="6"/>
  <c r="J4" i="6"/>
  <c r="J11" i="6" s="1"/>
  <c r="P123" i="4"/>
  <c r="I123" i="4"/>
  <c r="H123" i="4"/>
  <c r="N123" i="4" s="1"/>
  <c r="P122" i="4"/>
  <c r="I122" i="4"/>
  <c r="H122" i="4"/>
  <c r="N122" i="4" s="1"/>
  <c r="P121" i="4"/>
  <c r="I121" i="4"/>
  <c r="H121" i="4"/>
  <c r="N121" i="4" s="1"/>
  <c r="P120" i="4"/>
  <c r="I120" i="4"/>
  <c r="H120" i="4"/>
  <c r="N120" i="4" s="1"/>
  <c r="P119" i="4"/>
  <c r="I119" i="4"/>
  <c r="H119" i="4"/>
  <c r="N119" i="4" s="1"/>
  <c r="P118" i="4"/>
  <c r="I118" i="4"/>
  <c r="H118" i="4"/>
  <c r="N118" i="4" s="1"/>
  <c r="P117" i="4"/>
  <c r="I117" i="4"/>
  <c r="H117" i="4"/>
  <c r="N117" i="4" s="1"/>
  <c r="P116" i="4"/>
  <c r="I116" i="4"/>
  <c r="H116" i="4"/>
  <c r="N116" i="4" s="1"/>
  <c r="P115" i="4"/>
  <c r="I115" i="4"/>
  <c r="H115" i="4"/>
  <c r="N115" i="4" s="1"/>
  <c r="P114" i="4"/>
  <c r="I114" i="4"/>
  <c r="H114" i="4"/>
  <c r="N114" i="4" s="1"/>
  <c r="P113" i="4"/>
  <c r="I113" i="4"/>
  <c r="H113" i="4"/>
  <c r="N113" i="4" s="1"/>
  <c r="P112" i="4"/>
  <c r="I112" i="4"/>
  <c r="H112" i="4"/>
  <c r="N112" i="4" s="1"/>
  <c r="P111" i="4"/>
  <c r="I111" i="4"/>
  <c r="H111" i="4"/>
  <c r="N111" i="4" s="1"/>
  <c r="P110" i="4"/>
  <c r="I110" i="4"/>
  <c r="H110" i="4"/>
  <c r="N110" i="4" s="1"/>
  <c r="P109" i="4"/>
  <c r="I109" i="4"/>
  <c r="H109" i="4"/>
  <c r="N109" i="4" s="1"/>
  <c r="P108" i="4"/>
  <c r="I108" i="4"/>
  <c r="H108" i="4"/>
  <c r="N108" i="4" s="1"/>
  <c r="P107" i="4"/>
  <c r="I107" i="4"/>
  <c r="H107" i="4"/>
  <c r="N107" i="4" s="1"/>
  <c r="P106" i="4"/>
  <c r="I106" i="4"/>
  <c r="H106" i="4"/>
  <c r="N106" i="4" s="1"/>
  <c r="P105" i="4"/>
  <c r="I105" i="4"/>
  <c r="H105" i="4"/>
  <c r="N105" i="4" s="1"/>
  <c r="P104" i="4"/>
  <c r="I104" i="4"/>
  <c r="H104" i="4"/>
  <c r="N104" i="4" s="1"/>
  <c r="P103" i="4"/>
  <c r="I103" i="4"/>
  <c r="H103" i="4"/>
  <c r="N103" i="4" s="1"/>
  <c r="P102" i="4"/>
  <c r="I102" i="4"/>
  <c r="H102" i="4"/>
  <c r="N102" i="4" s="1"/>
  <c r="P101" i="4"/>
  <c r="I101" i="4"/>
  <c r="H101" i="4"/>
  <c r="N101" i="4" s="1"/>
  <c r="P100" i="4"/>
  <c r="I100" i="4"/>
  <c r="H100" i="4"/>
  <c r="N100" i="4" s="1"/>
  <c r="P99" i="4"/>
  <c r="I99" i="4"/>
  <c r="H99" i="4"/>
  <c r="N99" i="4" s="1"/>
  <c r="P98" i="4"/>
  <c r="I98" i="4"/>
  <c r="H98" i="4"/>
  <c r="N98" i="4" s="1"/>
  <c r="P97" i="4"/>
  <c r="I97" i="4"/>
  <c r="H97" i="4"/>
  <c r="N97" i="4" s="1"/>
  <c r="P96" i="4"/>
  <c r="I96" i="4"/>
  <c r="H96" i="4"/>
  <c r="N96" i="4" s="1"/>
  <c r="P95" i="4"/>
  <c r="I95" i="4"/>
  <c r="H95" i="4"/>
  <c r="N95" i="4" s="1"/>
  <c r="P94" i="4"/>
  <c r="I94" i="4"/>
  <c r="H94" i="4"/>
  <c r="N94" i="4" s="1"/>
  <c r="P93" i="4"/>
  <c r="I93" i="4"/>
  <c r="H93" i="4"/>
  <c r="N93" i="4" s="1"/>
  <c r="P92" i="4"/>
  <c r="I92" i="4"/>
  <c r="H92" i="4"/>
  <c r="N92" i="4" s="1"/>
  <c r="P91" i="4"/>
  <c r="I91" i="4"/>
  <c r="H91" i="4"/>
  <c r="N91" i="4" s="1"/>
  <c r="P90" i="4"/>
  <c r="I90" i="4"/>
  <c r="H90" i="4"/>
  <c r="N90" i="4" s="1"/>
  <c r="P89" i="4"/>
  <c r="I89" i="4"/>
  <c r="H89" i="4"/>
  <c r="N89" i="4" s="1"/>
  <c r="P88" i="4"/>
  <c r="I88" i="4"/>
  <c r="H88" i="4"/>
  <c r="N88" i="4" s="1"/>
  <c r="P87" i="4"/>
  <c r="I87" i="4"/>
  <c r="H87" i="4"/>
  <c r="N87" i="4" s="1"/>
  <c r="P86" i="4"/>
  <c r="I86" i="4"/>
  <c r="H86" i="4"/>
  <c r="N86" i="4" s="1"/>
  <c r="P85" i="4"/>
  <c r="I85" i="4"/>
  <c r="H85" i="4"/>
  <c r="N85" i="4" s="1"/>
  <c r="P84" i="4"/>
  <c r="I84" i="4"/>
  <c r="H84" i="4"/>
  <c r="N84" i="4" s="1"/>
  <c r="P83" i="4"/>
  <c r="I83" i="4"/>
  <c r="H83" i="4"/>
  <c r="N83" i="4" s="1"/>
  <c r="P82" i="4"/>
  <c r="I82" i="4"/>
  <c r="H82" i="4"/>
  <c r="N82" i="4" s="1"/>
  <c r="P81" i="4"/>
  <c r="I81" i="4"/>
  <c r="H81" i="4"/>
  <c r="N81" i="4" s="1"/>
  <c r="P80" i="4"/>
  <c r="I80" i="4"/>
  <c r="H80" i="4"/>
  <c r="N80" i="4" s="1"/>
  <c r="P79" i="4"/>
  <c r="I79" i="4"/>
  <c r="H79" i="4"/>
  <c r="N79" i="4" s="1"/>
  <c r="P78" i="4"/>
  <c r="I78" i="4"/>
  <c r="H78" i="4"/>
  <c r="N78" i="4" s="1"/>
  <c r="P77" i="4"/>
  <c r="I77" i="4"/>
  <c r="H77" i="4"/>
  <c r="N77" i="4" s="1"/>
  <c r="P76" i="4"/>
  <c r="I76" i="4"/>
  <c r="H76" i="4"/>
  <c r="N76" i="4" s="1"/>
  <c r="P75" i="4"/>
  <c r="I75" i="4"/>
  <c r="H75" i="4"/>
  <c r="N75" i="4" s="1"/>
  <c r="P74" i="4"/>
  <c r="I74" i="4"/>
  <c r="H74" i="4"/>
  <c r="N74" i="4" s="1"/>
  <c r="P73" i="4"/>
  <c r="I73" i="4"/>
  <c r="H73" i="4"/>
  <c r="N73" i="4" s="1"/>
  <c r="P72" i="4"/>
  <c r="I72" i="4"/>
  <c r="H72" i="4"/>
  <c r="N72" i="4" s="1"/>
  <c r="P71" i="4"/>
  <c r="I71" i="4"/>
  <c r="H71" i="4"/>
  <c r="N71" i="4" s="1"/>
  <c r="P70" i="4"/>
  <c r="I70" i="4"/>
  <c r="H70" i="4"/>
  <c r="N70" i="4" s="1"/>
  <c r="P69" i="4"/>
  <c r="I69" i="4"/>
  <c r="H69" i="4"/>
  <c r="N69" i="4" s="1"/>
  <c r="P68" i="4"/>
  <c r="I68" i="4"/>
  <c r="H68" i="4"/>
  <c r="N68" i="4" s="1"/>
  <c r="P67" i="4"/>
  <c r="I67" i="4"/>
  <c r="H67" i="4"/>
  <c r="N67" i="4" s="1"/>
  <c r="P66" i="4"/>
  <c r="I66" i="4"/>
  <c r="H66" i="4"/>
  <c r="N66" i="4" s="1"/>
  <c r="P65" i="4"/>
  <c r="I65" i="4"/>
  <c r="H65" i="4"/>
  <c r="N65" i="4" s="1"/>
  <c r="P64" i="4"/>
  <c r="I64" i="4"/>
  <c r="H64" i="4"/>
  <c r="N64" i="4" s="1"/>
  <c r="P63" i="4"/>
  <c r="I63" i="4"/>
  <c r="H63" i="4"/>
  <c r="N63" i="4" s="1"/>
  <c r="P62" i="4"/>
  <c r="I62" i="4"/>
  <c r="H62" i="4"/>
  <c r="N62" i="4" s="1"/>
  <c r="P61" i="4"/>
  <c r="I61" i="4"/>
  <c r="H61" i="4"/>
  <c r="N61" i="4" s="1"/>
  <c r="P60" i="4"/>
  <c r="I60" i="4"/>
  <c r="H60" i="4"/>
  <c r="N60" i="4" s="1"/>
  <c r="P59" i="4"/>
  <c r="I59" i="4"/>
  <c r="H59" i="4"/>
  <c r="N59" i="4" s="1"/>
  <c r="P58" i="4"/>
  <c r="I58" i="4"/>
  <c r="H58" i="4"/>
  <c r="N58" i="4" s="1"/>
  <c r="P57" i="4"/>
  <c r="I57" i="4"/>
  <c r="H57" i="4"/>
  <c r="N57" i="4" s="1"/>
  <c r="P56" i="4"/>
  <c r="I56" i="4"/>
  <c r="H56" i="4"/>
  <c r="N56" i="4" s="1"/>
  <c r="P55" i="4"/>
  <c r="I55" i="4"/>
  <c r="H55" i="4"/>
  <c r="N55" i="4" s="1"/>
  <c r="P54" i="4"/>
  <c r="I54" i="4"/>
  <c r="H54" i="4"/>
  <c r="N54" i="4" s="1"/>
  <c r="P53" i="4"/>
  <c r="I53" i="4"/>
  <c r="H53" i="4"/>
  <c r="N53" i="4" s="1"/>
  <c r="P52" i="4"/>
  <c r="I52" i="4"/>
  <c r="H52" i="4"/>
  <c r="N52" i="4" s="1"/>
  <c r="P51" i="4"/>
  <c r="I51" i="4"/>
  <c r="H51" i="4"/>
  <c r="N51" i="4" s="1"/>
  <c r="P50" i="4"/>
  <c r="I50" i="4"/>
  <c r="H50" i="4"/>
  <c r="N50" i="4" s="1"/>
  <c r="P49" i="4"/>
  <c r="I49" i="4"/>
  <c r="H49" i="4"/>
  <c r="N49" i="4" s="1"/>
  <c r="P48" i="4"/>
  <c r="I48" i="4"/>
  <c r="H48" i="4"/>
  <c r="N48" i="4" s="1"/>
  <c r="P47" i="4"/>
  <c r="I47" i="4"/>
  <c r="H47" i="4"/>
  <c r="N47" i="4" s="1"/>
  <c r="P46" i="4"/>
  <c r="I46" i="4"/>
  <c r="H46" i="4"/>
  <c r="N46" i="4" s="1"/>
  <c r="P45" i="4"/>
  <c r="I45" i="4"/>
  <c r="H45" i="4"/>
  <c r="N45" i="4" s="1"/>
  <c r="P44" i="4"/>
  <c r="I44" i="4"/>
  <c r="H44" i="4"/>
  <c r="N44" i="4" s="1"/>
  <c r="P43" i="4"/>
  <c r="I43" i="4"/>
  <c r="H43" i="4"/>
  <c r="N43" i="4" s="1"/>
  <c r="P42" i="4"/>
  <c r="I42" i="4"/>
  <c r="H42" i="4"/>
  <c r="N42" i="4" s="1"/>
  <c r="P41" i="4"/>
  <c r="I41" i="4"/>
  <c r="H41" i="4"/>
  <c r="N41" i="4" s="1"/>
  <c r="P40" i="4"/>
  <c r="I40" i="4"/>
  <c r="H40" i="4"/>
  <c r="N40" i="4" s="1"/>
  <c r="P39" i="4"/>
  <c r="I39" i="4"/>
  <c r="H39" i="4"/>
  <c r="N39" i="4" s="1"/>
  <c r="P38" i="4"/>
  <c r="I38" i="4"/>
  <c r="H38" i="4"/>
  <c r="N38" i="4" s="1"/>
  <c r="P37" i="4"/>
  <c r="I37" i="4"/>
  <c r="H37" i="4"/>
  <c r="N37" i="4" s="1"/>
  <c r="P36" i="4"/>
  <c r="I36" i="4"/>
  <c r="H36" i="4"/>
  <c r="N36" i="4" s="1"/>
  <c r="P35" i="4"/>
  <c r="I35" i="4"/>
  <c r="H35" i="4"/>
  <c r="N35" i="4" s="1"/>
  <c r="P34" i="4"/>
  <c r="I34" i="4"/>
  <c r="H34" i="4"/>
  <c r="N34" i="4" s="1"/>
  <c r="P33" i="4"/>
  <c r="I33" i="4"/>
  <c r="H33" i="4"/>
  <c r="N33" i="4" s="1"/>
  <c r="P32" i="4"/>
  <c r="I32" i="4"/>
  <c r="H32" i="4"/>
  <c r="N32" i="4" s="1"/>
  <c r="P31" i="4"/>
  <c r="I31" i="4"/>
  <c r="H31" i="4"/>
  <c r="N31" i="4" s="1"/>
  <c r="P30" i="4"/>
  <c r="I30" i="4"/>
  <c r="H30" i="4"/>
  <c r="N30" i="4" s="1"/>
  <c r="P29" i="4"/>
  <c r="I29" i="4"/>
  <c r="H29" i="4"/>
  <c r="N29" i="4" s="1"/>
  <c r="P28" i="4"/>
  <c r="I28" i="4"/>
  <c r="H28" i="4"/>
  <c r="N28" i="4" s="1"/>
  <c r="P27" i="4"/>
  <c r="I27" i="4"/>
  <c r="H27" i="4"/>
  <c r="N27" i="4" s="1"/>
  <c r="P26" i="4"/>
  <c r="I26" i="4"/>
  <c r="H26" i="4"/>
  <c r="N26" i="4" s="1"/>
  <c r="P25" i="4"/>
  <c r="I25" i="4"/>
  <c r="H25" i="4"/>
  <c r="N25" i="4" s="1"/>
  <c r="P24" i="4"/>
  <c r="I24" i="4"/>
  <c r="H24" i="4"/>
  <c r="N24" i="4" s="1"/>
  <c r="P23" i="4"/>
  <c r="I23" i="4"/>
  <c r="H23" i="4"/>
  <c r="N23" i="4" s="1"/>
  <c r="P22" i="4"/>
  <c r="I22" i="4"/>
  <c r="H22" i="4"/>
  <c r="N22" i="4" s="1"/>
  <c r="P21" i="4"/>
  <c r="I21" i="4"/>
  <c r="H21" i="4"/>
  <c r="N21" i="4" s="1"/>
  <c r="P20" i="4"/>
  <c r="I20" i="4"/>
  <c r="H20" i="4"/>
  <c r="N20" i="4" s="1"/>
  <c r="P19" i="4"/>
  <c r="I19" i="4"/>
  <c r="H19" i="4"/>
  <c r="N19" i="4" s="1"/>
  <c r="P18" i="4"/>
  <c r="I18" i="4"/>
  <c r="H18" i="4"/>
  <c r="N18" i="4" s="1"/>
  <c r="P17" i="4"/>
  <c r="I17" i="4"/>
  <c r="H17" i="4"/>
  <c r="N17" i="4" s="1"/>
  <c r="P16" i="4"/>
  <c r="I16" i="4"/>
  <c r="H16" i="4"/>
  <c r="N16" i="4" s="1"/>
  <c r="P15" i="4"/>
  <c r="I15" i="4"/>
  <c r="H15" i="4"/>
  <c r="N15" i="4" s="1"/>
  <c r="P14" i="4"/>
  <c r="I14" i="4"/>
  <c r="H14" i="4"/>
  <c r="N14" i="4" s="1"/>
  <c r="P13" i="4"/>
  <c r="I13" i="4"/>
  <c r="H13" i="4"/>
  <c r="N13" i="4" s="1"/>
  <c r="P12" i="4"/>
  <c r="I12" i="4"/>
  <c r="H12" i="4"/>
  <c r="N12" i="4" s="1"/>
  <c r="P11" i="4"/>
  <c r="I11" i="4"/>
  <c r="H11" i="4"/>
  <c r="N11" i="4" s="1"/>
  <c r="P10" i="4"/>
  <c r="I10" i="4"/>
  <c r="H10" i="4"/>
  <c r="N10" i="4" s="1"/>
  <c r="P9" i="4"/>
  <c r="I9" i="4"/>
  <c r="H9" i="4"/>
  <c r="N9" i="4" s="1"/>
  <c r="P8" i="4"/>
  <c r="I8" i="4"/>
  <c r="H8" i="4"/>
  <c r="N8" i="4" s="1"/>
  <c r="P7" i="4"/>
  <c r="I7" i="4"/>
  <c r="H7" i="4"/>
  <c r="N7" i="4" s="1"/>
  <c r="P6" i="4"/>
  <c r="I6" i="4"/>
  <c r="H6" i="4"/>
  <c r="N6" i="4" s="1"/>
  <c r="P5" i="4"/>
  <c r="I5" i="4"/>
  <c r="H5" i="4"/>
  <c r="N5" i="4" s="1"/>
  <c r="P4" i="4"/>
  <c r="I4" i="4"/>
  <c r="H4" i="4"/>
  <c r="N4" i="4" s="1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F42" i="2"/>
  <c r="F41" i="2"/>
  <c r="F40" i="2"/>
  <c r="F39" i="2"/>
  <c r="F38" i="2"/>
  <c r="F37" i="2"/>
  <c r="F36" i="2"/>
  <c r="F35" i="2"/>
  <c r="F34" i="2"/>
  <c r="F33" i="2"/>
  <c r="D18" i="2"/>
  <c r="H7" i="10" s="1"/>
  <c r="C18" i="2"/>
  <c r="F7" i="10" s="1"/>
  <c r="B18" i="2"/>
  <c r="D7" i="10" s="1"/>
  <c r="A18" i="2"/>
  <c r="B23" i="9"/>
  <c r="B22" i="9"/>
  <c r="B21" i="9"/>
  <c r="J6" i="9"/>
  <c r="G6" i="9"/>
  <c r="D6" i="9"/>
  <c r="A6" i="9"/>
  <c r="B7" i="10" l="1"/>
  <c r="E18" i="2"/>
  <c r="D17" i="10" s="1"/>
  <c r="N4" i="3"/>
  <c r="M4" i="3"/>
  <c r="N5" i="3"/>
  <c r="M5" i="3"/>
  <c r="N6" i="3"/>
  <c r="M6" i="3"/>
  <c r="N7" i="3"/>
  <c r="M7" i="3"/>
  <c r="N8" i="3"/>
  <c r="M8" i="3"/>
  <c r="N9" i="3"/>
  <c r="M9" i="3"/>
  <c r="N10" i="3"/>
  <c r="M10" i="3"/>
  <c r="N11" i="3"/>
  <c r="M11" i="3"/>
  <c r="N12" i="3"/>
  <c r="M12" i="3"/>
  <c r="N13" i="3"/>
  <c r="M13" i="3"/>
  <c r="N14" i="3"/>
  <c r="M14" i="3"/>
  <c r="N15" i="3"/>
  <c r="M15" i="3"/>
  <c r="N16" i="3"/>
  <c r="M16" i="3"/>
  <c r="N18" i="3"/>
  <c r="M18" i="3"/>
  <c r="N19" i="3"/>
  <c r="M19" i="3"/>
  <c r="N20" i="3"/>
  <c r="M20" i="3"/>
  <c r="N21" i="3"/>
  <c r="M21" i="3"/>
  <c r="N22" i="3"/>
  <c r="M22" i="3"/>
  <c r="N23" i="3"/>
  <c r="M23" i="3"/>
  <c r="N24" i="3"/>
  <c r="M24" i="3"/>
  <c r="N25" i="3"/>
  <c r="M25" i="3"/>
  <c r="N26" i="3"/>
  <c r="M26" i="3"/>
  <c r="N27" i="3"/>
  <c r="M27" i="3"/>
  <c r="N28" i="3"/>
  <c r="M28" i="3"/>
  <c r="N29" i="3"/>
  <c r="M29" i="3"/>
  <c r="N30" i="3"/>
  <c r="M30" i="3"/>
  <c r="N31" i="3"/>
  <c r="M31" i="3"/>
  <c r="N32" i="3"/>
  <c r="M32" i="3"/>
  <c r="N33" i="3"/>
  <c r="M33" i="3"/>
  <c r="N34" i="3"/>
  <c r="M34" i="3"/>
  <c r="N35" i="3"/>
  <c r="M35" i="3"/>
  <c r="N36" i="3"/>
  <c r="M36" i="3"/>
  <c r="N37" i="3"/>
  <c r="M37" i="3"/>
  <c r="N38" i="3"/>
  <c r="M38" i="3"/>
  <c r="N39" i="3"/>
  <c r="M39" i="3"/>
  <c r="N40" i="3"/>
  <c r="M40" i="3"/>
  <c r="N41" i="3"/>
  <c r="M41" i="3"/>
  <c r="N42" i="3"/>
  <c r="M42" i="3"/>
  <c r="N43" i="3"/>
  <c r="M43" i="3"/>
  <c r="N44" i="3"/>
  <c r="M44" i="3"/>
  <c r="N45" i="3"/>
  <c r="M45" i="3"/>
  <c r="N46" i="3"/>
  <c r="M46" i="3"/>
  <c r="N47" i="3"/>
  <c r="M47" i="3"/>
  <c r="N48" i="3"/>
  <c r="M48" i="3"/>
  <c r="N49" i="3"/>
  <c r="M49" i="3"/>
  <c r="N50" i="3"/>
  <c r="M50" i="3"/>
  <c r="N51" i="3"/>
  <c r="M51" i="3"/>
  <c r="N52" i="3"/>
  <c r="M52" i="3"/>
  <c r="N53" i="3"/>
  <c r="M53" i="3"/>
  <c r="N54" i="3"/>
  <c r="M54" i="3"/>
  <c r="N55" i="3"/>
  <c r="M55" i="3"/>
  <c r="N56" i="3"/>
  <c r="M56" i="3"/>
  <c r="N57" i="3"/>
  <c r="M57" i="3"/>
  <c r="N58" i="3"/>
  <c r="M58" i="3"/>
  <c r="N59" i="3"/>
  <c r="M59" i="3"/>
  <c r="N60" i="3"/>
  <c r="M60" i="3"/>
  <c r="N61" i="3"/>
  <c r="M61" i="3"/>
  <c r="N62" i="3"/>
  <c r="M62" i="3"/>
  <c r="N63" i="3"/>
  <c r="M63" i="3"/>
  <c r="N64" i="3"/>
  <c r="M64" i="3"/>
  <c r="N65" i="3"/>
  <c r="M65" i="3"/>
  <c r="N66" i="3"/>
  <c r="M66" i="3"/>
  <c r="N67" i="3"/>
  <c r="M67" i="3"/>
  <c r="N68" i="3"/>
  <c r="M68" i="3"/>
  <c r="N69" i="3"/>
  <c r="M69" i="3"/>
  <c r="N70" i="3"/>
  <c r="M70" i="3"/>
  <c r="N71" i="3"/>
  <c r="M71" i="3"/>
  <c r="N72" i="3"/>
  <c r="M72" i="3"/>
  <c r="N73" i="3"/>
  <c r="M73" i="3"/>
  <c r="N74" i="3"/>
  <c r="M74" i="3"/>
  <c r="N75" i="3"/>
  <c r="M75" i="3"/>
  <c r="N76" i="3"/>
  <c r="M76" i="3"/>
  <c r="N77" i="3"/>
  <c r="M77" i="3"/>
  <c r="N78" i="3"/>
  <c r="M78" i="3"/>
  <c r="N79" i="3"/>
  <c r="M79" i="3"/>
  <c r="N80" i="3"/>
  <c r="M80" i="3"/>
  <c r="N81" i="3"/>
  <c r="M81" i="3"/>
  <c r="N82" i="3"/>
  <c r="M82" i="3"/>
  <c r="N83" i="3"/>
  <c r="M83" i="3"/>
  <c r="N84" i="3"/>
  <c r="M84" i="3"/>
  <c r="N85" i="3"/>
  <c r="M85" i="3"/>
  <c r="N86" i="3"/>
  <c r="M86" i="3"/>
  <c r="N87" i="3"/>
  <c r="M87" i="3"/>
  <c r="N88" i="3"/>
  <c r="M88" i="3"/>
  <c r="N89" i="3"/>
  <c r="M89" i="3"/>
  <c r="N90" i="3"/>
  <c r="M90" i="3"/>
  <c r="N91" i="3"/>
  <c r="M91" i="3"/>
  <c r="N92" i="3"/>
  <c r="M92" i="3"/>
  <c r="N93" i="3"/>
  <c r="M93" i="3"/>
  <c r="N94" i="3"/>
  <c r="M94" i="3"/>
  <c r="N95" i="3"/>
  <c r="M95" i="3"/>
  <c r="N96" i="3"/>
  <c r="M96" i="3"/>
  <c r="N97" i="3"/>
  <c r="M97" i="3"/>
  <c r="N98" i="3"/>
  <c r="M98" i="3"/>
  <c r="N99" i="3"/>
  <c r="M99" i="3"/>
  <c r="N100" i="3"/>
  <c r="M100" i="3"/>
  <c r="N101" i="3"/>
  <c r="M101" i="3"/>
  <c r="N102" i="3"/>
  <c r="M102" i="3"/>
  <c r="N103" i="3"/>
  <c r="M103" i="3"/>
  <c r="N104" i="3"/>
  <c r="M104" i="3"/>
  <c r="N105" i="3"/>
  <c r="M105" i="3"/>
  <c r="N106" i="3"/>
  <c r="M106" i="3"/>
  <c r="N107" i="3"/>
  <c r="M107" i="3"/>
  <c r="N108" i="3"/>
  <c r="M108" i="3"/>
  <c r="N109" i="3"/>
  <c r="M109" i="3"/>
  <c r="N110" i="3"/>
  <c r="M110" i="3"/>
  <c r="N111" i="3"/>
  <c r="M111" i="3"/>
  <c r="N112" i="3"/>
  <c r="M112" i="3"/>
  <c r="N113" i="3"/>
  <c r="M113" i="3"/>
  <c r="N114" i="3"/>
  <c r="M114" i="3"/>
  <c r="N115" i="3"/>
  <c r="M115" i="3"/>
  <c r="N116" i="3"/>
  <c r="M116" i="3"/>
  <c r="N117" i="3"/>
  <c r="M117" i="3"/>
  <c r="N118" i="3"/>
  <c r="M118" i="3"/>
  <c r="N119" i="3"/>
  <c r="M119" i="3"/>
  <c r="N120" i="3"/>
  <c r="M120" i="3"/>
  <c r="N121" i="3"/>
  <c r="M121" i="3"/>
  <c r="N122" i="3"/>
  <c r="M122" i="3"/>
  <c r="N123" i="3"/>
  <c r="M123" i="3"/>
  <c r="N124" i="3"/>
  <c r="M124" i="3"/>
  <c r="N125" i="3"/>
  <c r="M125" i="3"/>
  <c r="N126" i="3"/>
  <c r="M126" i="3"/>
  <c r="N127" i="3"/>
  <c r="M127" i="3"/>
  <c r="N128" i="3"/>
  <c r="M128" i="3"/>
  <c r="N129" i="3"/>
  <c r="M129" i="3"/>
  <c r="N130" i="3"/>
  <c r="M130" i="3"/>
  <c r="N131" i="3"/>
  <c r="M131" i="3"/>
  <c r="N132" i="3"/>
  <c r="M132" i="3"/>
  <c r="N133" i="3"/>
  <c r="M133" i="3"/>
  <c r="N134" i="3"/>
  <c r="M134" i="3"/>
  <c r="N135" i="3"/>
  <c r="M135" i="3"/>
  <c r="N136" i="3"/>
  <c r="M136" i="3"/>
  <c r="N137" i="3"/>
  <c r="M137" i="3"/>
  <c r="N138" i="3"/>
  <c r="M138" i="3"/>
  <c r="N139" i="3"/>
  <c r="M139" i="3"/>
  <c r="N140" i="3"/>
  <c r="M140" i="3"/>
  <c r="N141" i="3"/>
  <c r="M141" i="3"/>
  <c r="N142" i="3"/>
  <c r="M142" i="3"/>
  <c r="N143" i="3"/>
  <c r="M143" i="3"/>
  <c r="N144" i="3"/>
  <c r="M144" i="3"/>
  <c r="N145" i="3"/>
  <c r="M145" i="3"/>
  <c r="N146" i="3"/>
  <c r="M146" i="3"/>
  <c r="N147" i="3"/>
  <c r="M147" i="3"/>
  <c r="N148" i="3"/>
  <c r="M148" i="3"/>
  <c r="N149" i="3"/>
  <c r="M149" i="3"/>
  <c r="N150" i="3"/>
  <c r="M150" i="3"/>
  <c r="N151" i="3"/>
  <c r="M151" i="3"/>
  <c r="N152" i="3"/>
  <c r="M152" i="3"/>
  <c r="N153" i="3"/>
  <c r="M153" i="3"/>
  <c r="D12" i="10"/>
  <c r="B12" i="10"/>
  <c r="D20" i="7"/>
  <c r="D19" i="7"/>
  <c r="M21" i="10"/>
  <c r="H15" i="6"/>
  <c r="N11" i="6"/>
  <c r="M22" i="10"/>
  <c r="H16" i="6"/>
  <c r="M23" i="10"/>
  <c r="H17" i="6"/>
  <c r="M24" i="10"/>
  <c r="H18" i="6"/>
  <c r="M25" i="10"/>
  <c r="H19" i="6"/>
  <c r="M26" i="10"/>
  <c r="H20" i="6"/>
  <c r="M27" i="10"/>
  <c r="H21" i="6"/>
  <c r="D22" i="7"/>
  <c r="D21" i="7"/>
  <c r="G20" i="7"/>
  <c r="G19" i="7"/>
  <c r="G18" i="7"/>
  <c r="H24" i="10"/>
  <c r="F24" i="10"/>
  <c r="H23" i="10"/>
  <c r="F23" i="10"/>
  <c r="H22" i="10"/>
  <c r="F22" i="10"/>
  <c r="H21" i="10"/>
  <c r="F21" i="10"/>
</calcChain>
</file>

<file path=xl/sharedStrings.xml><?xml version="1.0" encoding="utf-8"?>
<sst xmlns="http://schemas.openxmlformats.org/spreadsheetml/2006/main" count="2790" uniqueCount="564">
  <si>
    <t xml:space="preserve">  Project Management Gantt Chart &amp; Resource Planner</t>
  </si>
  <si>
    <t>KEY PROJECT METRICS</t>
  </si>
  <si>
    <t>Total Techniques</t>
  </si>
  <si>
    <t>Completed</t>
  </si>
  <si>
    <t>In Progress</t>
  </si>
  <si>
    <t>Not Started</t>
  </si>
  <si>
    <t>Overall Progress</t>
  </si>
  <si>
    <t>QUICK NAVIGATION — CLICK TO JUMP TO ANY SHEET</t>
  </si>
  <si>
    <t>Sheet Name</t>
  </si>
  <si>
    <t>Type</t>
  </si>
  <si>
    <t>Description</t>
  </si>
  <si>
    <t>Click to Open</t>
  </si>
  <si>
    <t>Raw Data (153 rows)</t>
  </si>
  <si>
    <t>DATA</t>
  </si>
  <si>
    <t xml:space="preserve"> 150 uncleaned records — messy names, dates, revenue &amp; formats</t>
  </si>
  <si>
    <t>→ Open Raw Data (153 rows)</t>
  </si>
  <si>
    <t>Cleaned Data (120 rows)</t>
  </si>
  <si>
    <t xml:space="preserve"> 150 standardised &amp; validated records with cleaning flags</t>
  </si>
  <si>
    <t>→ Open Cleaned Data (153 rows)</t>
  </si>
  <si>
    <t>Gantt Chart</t>
  </si>
  <si>
    <t>PLAN</t>
  </si>
  <si>
    <t xml:space="preserve">  Full 26-week Gantt across 4 phases with colour-coded bars</t>
  </si>
  <si>
    <t>→ Open Gantt Chart</t>
  </si>
  <si>
    <t>Resource Planner</t>
  </si>
  <si>
    <t>TEAM</t>
  </si>
  <si>
    <t xml:space="preserve"> 7-person team: allocation, utilisation &amp; workload by phase</t>
  </si>
  <si>
    <t>→ Open Resource Planner</t>
  </si>
  <si>
    <t>Task Tracker</t>
  </si>
  <si>
    <t>TRACK</t>
  </si>
  <si>
    <t xml:space="preserve"> Detailed task log with formulas, dependencies &amp; review dates</t>
  </si>
  <si>
    <t>→ Open Task Tracker</t>
  </si>
  <si>
    <t>Checklist</t>
  </si>
  <si>
    <t>REF</t>
  </si>
  <si>
    <t xml:space="preserve"> Before/after raw→clean examples for all 10 techniques</t>
  </si>
  <si>
    <t>→ Open Checklist</t>
  </si>
  <si>
    <t>Dashboard</t>
  </si>
  <si>
    <t>DASH</t>
  </si>
  <si>
    <t xml:space="preserve"> High-level summary of project status, KPIs, milestones, and team performance at a glance</t>
  </si>
  <si>
    <t>→Open Dashboard</t>
  </si>
  <si>
    <t>KPI</t>
  </si>
  <si>
    <t>METRICS</t>
  </si>
  <si>
    <t>Key performance indicators tracking project health — completion rate, utilisation, quality scores, and progress vs targets</t>
  </si>
  <si>
    <t>→Open KPI</t>
  </si>
  <si>
    <t>10 DATA CLEANING TECHNIQUES — OVERVIEW</t>
  </si>
  <si>
    <t>No.</t>
  </si>
  <si>
    <t>Technique</t>
  </si>
  <si>
    <t>Problem Solved</t>
  </si>
  <si>
    <t>Live Formula (click me!)</t>
  </si>
  <si>
    <t>Sample Input</t>
  </si>
  <si>
    <t>Phase</t>
  </si>
  <si>
    <t>Priority</t>
  </si>
  <si>
    <t>Status</t>
  </si>
  <si>
    <t>Remove Duplicates — CRM Export Cleaning</t>
  </si>
  <si>
    <t>CRM Export Cleaning</t>
  </si>
  <si>
    <t>ORD-1001</t>
  </si>
  <si>
    <t>Phase 1</t>
  </si>
  <si>
    <t>Critical</t>
  </si>
  <si>
    <t>Trim Extra Spaces — Customer Name Import</t>
  </si>
  <si>
    <t>Customer Name Import</t>
  </si>
  <si>
    <t xml:space="preserve">  Priya  Sharma  </t>
  </si>
  <si>
    <t>Standardize Text Case — Region Codes</t>
  </si>
  <si>
    <t>Region Codes</t>
  </si>
  <si>
    <t>north west</t>
  </si>
  <si>
    <t>High</t>
  </si>
  <si>
    <t>Fix Date Formats — Legacy System Dates</t>
  </si>
  <si>
    <t>Legacy System Dates</t>
  </si>
  <si>
    <t>2024-01-29</t>
  </si>
  <si>
    <t>Phase 2</t>
  </si>
  <si>
    <t>Handle Missing Values — Customer Database</t>
  </si>
  <si>
    <t>Customer Database</t>
  </si>
  <si>
    <t>Split Combined Columns — Contact Database</t>
  </si>
  <si>
    <t>Contact Database</t>
  </si>
  <si>
    <t>Karan Malhotra</t>
  </si>
  <si>
    <t>Medium</t>
  </si>
  <si>
    <t>Remove Non-Numeric Chars — Revenue Data</t>
  </si>
  <si>
    <t>Revenue Data</t>
  </si>
  <si>
    <t>Rs. 1,50,000</t>
  </si>
  <si>
    <t>Phase 3</t>
  </si>
  <si>
    <t>Validate Data Ranges — HR Age Dataset</t>
  </si>
  <si>
    <t>HR Age Dataset</t>
  </si>
  <si>
    <t>Standardize Category Labels — Product SKU</t>
  </si>
  <si>
    <t>Product SKU</t>
  </si>
  <si>
    <t>electronics</t>
  </si>
  <si>
    <t>Combine &amp; Reconcile Columns — Address</t>
  </si>
  <si>
    <t>Address</t>
  </si>
  <si>
    <t>123 Main St</t>
  </si>
  <si>
    <t>Phase 4</t>
  </si>
  <si>
    <t xml:space="preserve"> RAW DATA — 153 Records (Uncleaned with Null/Wrong Values)  |  Project Management Dashboard</t>
  </si>
  <si>
    <t>← Back to Project Overview</t>
  </si>
  <si>
    <t>#</t>
  </si>
  <si>
    <t>Task / Technique</t>
  </si>
  <si>
    <t>Assigned To</t>
  </si>
  <si>
    <t>Department</t>
  </si>
  <si>
    <t>Start Date</t>
  </si>
  <si>
    <t>End Date</t>
  </si>
  <si>
    <t>Duration (Days)</t>
  </si>
  <si>
    <t>% Complete</t>
  </si>
  <si>
    <t>Daily Rate (₹)</t>
  </si>
  <si>
    <t>Hours</t>
  </si>
  <si>
    <t>Revenue (Raw)</t>
  </si>
  <si>
    <t>Notes</t>
  </si>
  <si>
    <t>PHASE1</t>
  </si>
  <si>
    <t>Sunita Verma</t>
  </si>
  <si>
    <t>BI &amp; Analytics</t>
  </si>
  <si>
    <t>2024-02-06</t>
  </si>
  <si>
    <t>40</t>
  </si>
  <si>
    <t>Low</t>
  </si>
  <si>
    <t>3000</t>
  </si>
  <si>
    <t>—</t>
  </si>
  <si>
    <t>PHASE 2</t>
  </si>
  <si>
    <t>deepa krishnan</t>
  </si>
  <si>
    <t>business intel.</t>
  </si>
  <si>
    <t>2024-05-15</t>
  </si>
  <si>
    <t>100.00%</t>
  </si>
  <si>
    <t>LOW</t>
  </si>
  <si>
    <t>₹4200</t>
  </si>
  <si>
    <t>Amit Roy</t>
  </si>
  <si>
    <t>DATA PLATFORM</t>
  </si>
  <si>
    <t>01/25/2024</t>
  </si>
  <si>
    <t>25</t>
  </si>
  <si>
    <t>high</t>
  </si>
  <si>
    <t>PHASE4</t>
  </si>
  <si>
    <t>neha joshi</t>
  </si>
  <si>
    <t>QUALITY ASSUR.</t>
  </si>
  <si>
    <t>2024-03-17</t>
  </si>
  <si>
    <t>0</t>
  </si>
  <si>
    <t>CRITICAL</t>
  </si>
  <si>
    <t xml:space="preserve">  ₹2,000  </t>
  </si>
  <si>
    <t>Deepa Krishnan</t>
  </si>
  <si>
    <t>PMO</t>
  </si>
  <si>
    <t>15-05-2024</t>
  </si>
  <si>
    <t>100 %</t>
  </si>
  <si>
    <t>INR 5,500</t>
  </si>
  <si>
    <t>phase 2</t>
  </si>
  <si>
    <t>DEEPA KRISHNAN</t>
  </si>
  <si>
    <t>BI &amp; ANALYTICS</t>
  </si>
  <si>
    <t>2024-02-08</t>
  </si>
  <si>
    <t>25.00%</t>
  </si>
  <si>
    <t>Rs. 3,500</t>
  </si>
  <si>
    <t>Extra spaces detected</t>
  </si>
  <si>
    <t>Siddharth Rao</t>
  </si>
  <si>
    <t>biz intel</t>
  </si>
  <si>
    <t>02/18/2024</t>
  </si>
  <si>
    <t>Rs. 4,000</t>
  </si>
  <si>
    <t>PHASE 1</t>
  </si>
  <si>
    <t>Meera Pillai</t>
  </si>
  <si>
    <t>Quality Assur.</t>
  </si>
  <si>
    <t>32/13/2024</t>
  </si>
  <si>
    <t>50.00%</t>
  </si>
  <si>
    <t>low</t>
  </si>
  <si>
    <t>Rs.5000</t>
  </si>
  <si>
    <t>Re-run TRIM</t>
  </si>
  <si>
    <t xml:space="preserve">   duplicate cleanup   </t>
  </si>
  <si>
    <t>PHASE2</t>
  </si>
  <si>
    <t>Rohit Gupta</t>
  </si>
  <si>
    <t>pmo</t>
  </si>
  <si>
    <t>2024-01-19</t>
  </si>
  <si>
    <t>75.00%</t>
  </si>
  <si>
    <t>medium</t>
  </si>
  <si>
    <t>phase-2</t>
  </si>
  <si>
    <t>2024-05-07</t>
  </si>
  <si>
    <t>25%</t>
  </si>
  <si>
    <t>Awaiting sign-off</t>
  </si>
  <si>
    <t>PHASE 4</t>
  </si>
  <si>
    <t>Lakshmi Nair</t>
  </si>
  <si>
    <t>BUSINESS INTEL.</t>
  </si>
  <si>
    <t>2024-04-22</t>
  </si>
  <si>
    <t>2024-02-01</t>
  </si>
  <si>
    <t>0%</t>
  </si>
  <si>
    <t>Check formula</t>
  </si>
  <si>
    <t>12345</t>
  </si>
  <si>
    <t>data platform</t>
  </si>
  <si>
    <t>22-02-2024</t>
  </si>
  <si>
    <t>100</t>
  </si>
  <si>
    <t>MEDIUM</t>
  </si>
  <si>
    <t>Needs validation</t>
  </si>
  <si>
    <t>Priya Sharma</t>
  </si>
  <si>
    <t>01/27/2024</t>
  </si>
  <si>
    <t>completed</t>
  </si>
  <si>
    <t>0 %</t>
  </si>
  <si>
    <t>TBD</t>
  </si>
  <si>
    <t>Rs.514492</t>
  </si>
  <si>
    <t>PHASE 3</t>
  </si>
  <si>
    <t>RAHUL MEHTA</t>
  </si>
  <si>
    <t>02/20/2024</t>
  </si>
  <si>
    <t>25 %</t>
  </si>
  <si>
    <t>Verified OK</t>
  </si>
  <si>
    <t>Rahul Mehta</t>
  </si>
  <si>
    <t>Not Available</t>
  </si>
  <si>
    <t>PH 5</t>
  </si>
  <si>
    <t>SUNITA VERMA</t>
  </si>
  <si>
    <t>Business Intel.</t>
  </si>
  <si>
    <t>2024-01-21</t>
  </si>
  <si>
    <t>HIGH</t>
  </si>
  <si>
    <t>Pending review</t>
  </si>
  <si>
    <t>Vikram Nair</t>
  </si>
  <si>
    <t>02/06/2024</t>
  </si>
  <si>
    <t>75%</t>
  </si>
  <si>
    <t>PHASE3</t>
  </si>
  <si>
    <t>NEHA JOSHI</t>
  </si>
  <si>
    <t>18-04-2024</t>
  </si>
  <si>
    <t>Arjun Pillai</t>
  </si>
  <si>
    <t>27-03-2024</t>
  </si>
  <si>
    <t>phase 1</t>
  </si>
  <si>
    <t>pooja iyer</t>
  </si>
  <si>
    <t>bi &amp; analytics</t>
  </si>
  <si>
    <t>07-05-2024</t>
  </si>
  <si>
    <t>POOJA IYER</t>
  </si>
  <si>
    <t>2024-02-22</t>
  </si>
  <si>
    <t>40 %</t>
  </si>
  <si>
    <t>critical</t>
  </si>
  <si>
    <t>23-03-2024</t>
  </si>
  <si>
    <t>rohit gupta</t>
  </si>
  <si>
    <t>01/11/2024</t>
  </si>
  <si>
    <t>40.00%</t>
  </si>
  <si>
    <t>ananya singh</t>
  </si>
  <si>
    <t>2024-01-07</t>
  </si>
  <si>
    <t>0.00%</t>
  </si>
  <si>
    <t>phase 3</t>
  </si>
  <si>
    <t>2024-05-23</t>
  </si>
  <si>
    <t>phase 4</t>
  </si>
  <si>
    <t>ANANYA SINGH</t>
  </si>
  <si>
    <t>100%</t>
  </si>
  <si>
    <t>Flag for QA</t>
  </si>
  <si>
    <t>05/01/2024</t>
  </si>
  <si>
    <t>05/11/2024</t>
  </si>
  <si>
    <t>50</t>
  </si>
  <si>
    <t>03/15/2024</t>
  </si>
  <si>
    <t xml:space="preserve">  Vikram Nair  </t>
  </si>
  <si>
    <t>vikram nair</t>
  </si>
  <si>
    <t>Data Platform</t>
  </si>
  <si>
    <t>2024-02-16</t>
  </si>
  <si>
    <t>01/01/2024</t>
  </si>
  <si>
    <t>2024-02-28</t>
  </si>
  <si>
    <t>05/23/2024</t>
  </si>
  <si>
    <t>65</t>
  </si>
  <si>
    <t>11-03-2024</t>
  </si>
  <si>
    <t>Pooja Iyer</t>
  </si>
  <si>
    <t>17-03-2024</t>
  </si>
  <si>
    <t>Minor inconsistency</t>
  </si>
  <si>
    <t>siddharth rao</t>
  </si>
  <si>
    <t>04/28/2024</t>
  </si>
  <si>
    <t>75 %</t>
  </si>
  <si>
    <t>03/21/2024</t>
  </si>
  <si>
    <t xml:space="preserve">  Lakshmi Nair  </t>
  </si>
  <si>
    <t>17-01-2024</t>
  </si>
  <si>
    <t>50 %</t>
  </si>
  <si>
    <t>01-05-2024</t>
  </si>
  <si>
    <t>ROHIT GUPTA</t>
  </si>
  <si>
    <t>2024-01-09</t>
  </si>
  <si>
    <t>40%</t>
  </si>
  <si>
    <t>amit roy</t>
  </si>
  <si>
    <t>quality assur.</t>
  </si>
  <si>
    <t>02/16/2024</t>
  </si>
  <si>
    <t>06-04-2024</t>
  </si>
  <si>
    <t>2024-05-17</t>
  </si>
  <si>
    <t>02/12/2024</t>
  </si>
  <si>
    <t>ARJUN PILLAI</t>
  </si>
  <si>
    <t>2024-03-25</t>
  </si>
  <si>
    <t xml:space="preserve">  Arjun Pillai  </t>
  </si>
  <si>
    <t>05/15/2024</t>
  </si>
  <si>
    <t>Neha Joshi</t>
  </si>
  <si>
    <t>MEERA PILLAI</t>
  </si>
  <si>
    <t>03/19/2024</t>
  </si>
  <si>
    <t>07-03-2024</t>
  </si>
  <si>
    <t>65.00%</t>
  </si>
  <si>
    <t>2024-04-02</t>
  </si>
  <si>
    <t>meera pillai</t>
  </si>
  <si>
    <t>26-06-2024</t>
  </si>
  <si>
    <t>04/10/2024</t>
  </si>
  <si>
    <t xml:space="preserve">  Priya Sharma  </t>
  </si>
  <si>
    <t>18-06-2024</t>
  </si>
  <si>
    <t>AMIT ROY</t>
  </si>
  <si>
    <t>2024-05-25</t>
  </si>
  <si>
    <t>02/10/2024</t>
  </si>
  <si>
    <t>2024-03-11</t>
  </si>
  <si>
    <t>65%</t>
  </si>
  <si>
    <t>02-02-2024</t>
  </si>
  <si>
    <t xml:space="preserve">  Neha Joshi  </t>
  </si>
  <si>
    <t>01/03/2024</t>
  </si>
  <si>
    <t>2024-02-12</t>
  </si>
  <si>
    <t>2024-05-19</t>
  </si>
  <si>
    <t>75</t>
  </si>
  <si>
    <t>01/21/2024</t>
  </si>
  <si>
    <t>2024-04-06</t>
  </si>
  <si>
    <t>04-04-2024</t>
  </si>
  <si>
    <t>2024-04-10</t>
  </si>
  <si>
    <t>2024-04-28</t>
  </si>
  <si>
    <t>10-02-2024</t>
  </si>
  <si>
    <t xml:space="preserve">  Rahul Mehta  </t>
  </si>
  <si>
    <t>21-05-2024</t>
  </si>
  <si>
    <t>13-03-2024</t>
  </si>
  <si>
    <t>02/24/2024</t>
  </si>
  <si>
    <t>arjun pillai</t>
  </si>
  <si>
    <t>09-01-2024</t>
  </si>
  <si>
    <t>KARAN MALHOTRA</t>
  </si>
  <si>
    <t>06/14/2024</t>
  </si>
  <si>
    <t>18-02-2024</t>
  </si>
  <si>
    <t>01/13/2024</t>
  </si>
  <si>
    <t>2024-04-08</t>
  </si>
  <si>
    <t>06/10/2024</t>
  </si>
  <si>
    <t>19-05-2024</t>
  </si>
  <si>
    <t>Ananya Singh</t>
  </si>
  <si>
    <t>50%</t>
  </si>
  <si>
    <t>PRIYA SHARMA</t>
  </si>
  <si>
    <t>2024-05-27</t>
  </si>
  <si>
    <t>21-01-2024</t>
  </si>
  <si>
    <t>65 %</t>
  </si>
  <si>
    <t>10-06-2024</t>
  </si>
  <si>
    <t>03-01-2024</t>
  </si>
  <si>
    <t>2024-02-18</t>
  </si>
  <si>
    <t>02/26/2024</t>
  </si>
  <si>
    <t>15-01-2024</t>
  </si>
  <si>
    <t>28-02-2024</t>
  </si>
  <si>
    <t>2024-06-18</t>
  </si>
  <si>
    <t>04-02-2024</t>
  </si>
  <si>
    <t>05/19/2024</t>
  </si>
  <si>
    <t>2024-06-14</t>
  </si>
  <si>
    <t>12-02-2024</t>
  </si>
  <si>
    <t>2024-04-12</t>
  </si>
  <si>
    <t>2024-01-27</t>
  </si>
  <si>
    <t>17-05-2024</t>
  </si>
  <si>
    <t>03/05/2024</t>
  </si>
  <si>
    <t>01-01-2024</t>
  </si>
  <si>
    <t>28-06-2024</t>
  </si>
  <si>
    <t>26-02-2024</t>
  </si>
  <si>
    <t>2024-06-26</t>
  </si>
  <si>
    <t>2024-05-13</t>
  </si>
  <si>
    <t>05/25/2024</t>
  </si>
  <si>
    <t>2024-03-27</t>
  </si>
  <si>
    <t>karan malhotra</t>
  </si>
  <si>
    <t>04/20/2024</t>
  </si>
  <si>
    <t>01/19/2024</t>
  </si>
  <si>
    <t>14-04-2024</t>
  </si>
  <si>
    <t>06/08/2024</t>
  </si>
  <si>
    <t>04/22/2024</t>
  </si>
  <si>
    <t>2024-06-06</t>
  </si>
  <si>
    <t>03/07/2024</t>
  </si>
  <si>
    <t xml:space="preserve">  Sunita Verma  </t>
  </si>
  <si>
    <t>2024-02-14</t>
  </si>
  <si>
    <t>02-04-2024</t>
  </si>
  <si>
    <t>03/25/2024</t>
  </si>
  <si>
    <t xml:space="preserve">  Rohit Gupta  </t>
  </si>
  <si>
    <t>04/18/2024</t>
  </si>
  <si>
    <t>lakshmi nair</t>
  </si>
  <si>
    <t xml:space="preserve"> CLEANED DATA — 120 Records (Standardised &amp; Validated)  |  Project Management Dashboard</t>
  </si>
  <si>
    <t>Revenue (₹)</t>
  </si>
  <si>
    <t>Flag</t>
  </si>
  <si>
    <t>GANTT CHART — Data Cleaning for Excel Dashboard Development  |  January 2024 – June 2024  |  4 Phases  |  10 Techniques</t>
  </si>
  <si>
    <t>Owner</t>
  </si>
  <si>
    <t>Start</t>
  </si>
  <si>
    <t>End</t>
  </si>
  <si>
    <t>Days</t>
  </si>
  <si>
    <t>% Done</t>
  </si>
  <si>
    <t>January 2024</t>
  </si>
  <si>
    <t>February 2024</t>
  </si>
  <si>
    <t>March 2024</t>
  </si>
  <si>
    <t>April 2024</t>
  </si>
  <si>
    <t>May 2024</t>
  </si>
  <si>
    <t>June 2024</t>
  </si>
  <si>
    <t>W1</t>
  </si>
  <si>
    <t>W2</t>
  </si>
  <si>
    <t>W3</t>
  </si>
  <si>
    <t>W4</t>
  </si>
  <si>
    <t>PHASE 1 — Foundation Cleaning (Techniques 1–3)</t>
  </si>
  <si>
    <t>PHASE 2 — Structure &amp; Format Cleaning (Techniques 4–6)</t>
  </si>
  <si>
    <t>PHASE 3 — Value Validation &amp; Standardisation (Techniques 7–9)</t>
  </si>
  <si>
    <t>PHASE 4 — Data Consolidation &amp; Final QA (Technique 10)</t>
  </si>
  <si>
    <t>LEGEND</t>
  </si>
  <si>
    <t>Phase 1 – Foundation</t>
  </si>
  <si>
    <t>Phase 2 – Structure</t>
  </si>
  <si>
    <t>Phase 3 – Validation</t>
  </si>
  <si>
    <t>Phase 4 – Final QA</t>
  </si>
  <si>
    <t>■ Completed</t>
  </si>
  <si>
    <t>■ In Progress</t>
  </si>
  <si>
    <t>■ Not Started</t>
  </si>
  <si>
    <t>RESOURCE ALLOCATION PLANNER — Data Cleaning Project  |  Team capacity, task assignments, workload &amp; availability — Jan to Jun 2024</t>
  </si>
  <si>
    <t>Resource Name</t>
  </si>
  <si>
    <t>Role</t>
  </si>
  <si>
    <t>Techniques Assigned</t>
  </si>
  <si>
    <t>Ph.1</t>
  </si>
  <si>
    <t>Ph.2</t>
  </si>
  <si>
    <t>Ph.3</t>
  </si>
  <si>
    <t>Ph.4</t>
  </si>
  <si>
    <t>Total Tasks</t>
  </si>
  <si>
    <t>Hours Alloc.</t>
  </si>
  <si>
    <t>Availability %</t>
  </si>
  <si>
    <t>Utilisation %</t>
  </si>
  <si>
    <t>Senior Data Analyst</t>
  </si>
  <si>
    <t>COUNTIF, TRIM, CLEAN, VLOOKUP, ISBLANK</t>
  </si>
  <si>
    <t>Active</t>
  </si>
  <si>
    <t>BI Developer</t>
  </si>
  <si>
    <t>UPPER/LOWER/PROPER, TEXTSPLIT, LEFT/MID</t>
  </si>
  <si>
    <t>Data Engineer</t>
  </si>
  <si>
    <t>DATEVALUE, VALUE, DATE, TEXTJOIN</t>
  </si>
  <si>
    <t>QA Analyst</t>
  </si>
  <si>
    <t>IFERROR, ISBLANK, AVERAGEIFS, IF, AND</t>
  </si>
  <si>
    <t>Project Manager</t>
  </si>
  <si>
    <t>Project Planning, Reporting, Stakeholder</t>
  </si>
  <si>
    <t>Junior Data Analyst</t>
  </si>
  <si>
    <t>TRIM, CLEAN, VLOOKUP, COUNTIF</t>
  </si>
  <si>
    <t>Data Architect</t>
  </si>
  <si>
    <t>Data Modelling, ETL, Schema, Validation</t>
  </si>
  <si>
    <t>Part-time</t>
  </si>
  <si>
    <t>TOTALS / AVERAGES</t>
  </si>
  <si>
    <t>WORKLOAD SUMMARY BY PHASE</t>
  </si>
  <si>
    <t>Resource</t>
  </si>
  <si>
    <t>Util %</t>
  </si>
  <si>
    <t>TASK TRACKER — Data Cleaning for Excel Dashboard  |  Detailed task log with formulas, dependencies, review dates &amp; completion tracking</t>
  </si>
  <si>
    <t>Technique / Task</t>
  </si>
  <si>
    <t>Duration</t>
  </si>
  <si>
    <t>Notes / Formula Used</t>
  </si>
  <si>
    <t>Dependency</t>
  </si>
  <si>
    <t>Review Date</t>
  </si>
  <si>
    <t xml:space="preserve"> Live Formula</t>
  </si>
  <si>
    <t>Sample Data (reference)</t>
  </si>
  <si>
    <t>COUNTIF($A$2:$A2,A2)&gt;1 | Data &gt; Remove Duplicates</t>
  </si>
  <si>
    <t>None</t>
  </si>
  <si>
    <t>TRIM(CLEAN(A2))</t>
  </si>
  <si>
    <t>Task 1</t>
  </si>
  <si>
    <t>PROPER(A2) | UPPER(A2) | LOWER(A2)</t>
  </si>
  <si>
    <t>Task 2</t>
  </si>
  <si>
    <t>DATEVALUE(A2) | DATE(RIGHT,MID,LEFT)</t>
  </si>
  <si>
    <t>Task 3</t>
  </si>
  <si>
    <t>IF(ISBLANK(A2),"Unknown",A2)</t>
  </si>
  <si>
    <t>Task 4</t>
  </si>
  <si>
    <t>LEFT(A2,FIND(" ",A2)-1) | MID(A2,FIND(...))</t>
  </si>
  <si>
    <t>Task 5</t>
  </si>
  <si>
    <t>VALUE(SUBSTITUTE(SUBSTITUTE(A2,"Rs. ",""),",",""))</t>
  </si>
  <si>
    <t>Task 6</t>
  </si>
  <si>
    <t>Rs. 1</t>
  </si>
  <si>
    <t>IF(AND(A2&gt;=18,A2&lt;=65),"Valid","Invalid")</t>
  </si>
  <si>
    <t>Task 7</t>
  </si>
  <si>
    <t>IFERROR(VLOOKUP(UPPER(A2),MapTable,2,0),PROPER(A2))</t>
  </si>
  <si>
    <t>Task 8</t>
  </si>
  <si>
    <t>TEXTJOIN(", ",TRUE,B2,C2,D2)</t>
  </si>
  <si>
    <t>Task 9</t>
  </si>
  <si>
    <t>ADDED VALUE DETAILS</t>
  </si>
  <si>
    <t>STATUS SUMMARY</t>
  </si>
  <si>
    <t>Name</t>
  </si>
  <si>
    <t>Column</t>
  </si>
  <si>
    <t>Detail</t>
  </si>
  <si>
    <t>Value</t>
  </si>
  <si>
    <t>Count</t>
  </si>
  <si>
    <t>Duplicate Count</t>
  </si>
  <si>
    <t>B</t>
  </si>
  <si>
    <t>Duplicate names in tasks</t>
  </si>
  <si>
    <t>Avg Revenue (K)</t>
  </si>
  <si>
    <t>N</t>
  </si>
  <si>
    <t>Average cleaned revenue / 1000</t>
  </si>
  <si>
    <t>Total Revenue (Lakh)</t>
  </si>
  <si>
    <t>Total cleaned revenue / 100000</t>
  </si>
  <si>
    <t>Completion %</t>
  </si>
  <si>
    <t>I</t>
  </si>
  <si>
    <t>Completed tasks ratio x 100</t>
  </si>
  <si>
    <t>On Track %</t>
  </si>
  <si>
    <t>P</t>
  </si>
  <si>
    <t>In-progress tasks ratio x 100</t>
  </si>
  <si>
    <t xml:space="preserve">  DASHBOARD READINESS CHECKLIST — Pre-Deployment Quality Gate  |  Verify all 10 items before connecting cleaned dataset to the Excel Dashboard</t>
  </si>
  <si>
    <t>Checklist Item</t>
  </si>
  <si>
    <t>How to Verify</t>
  </si>
  <si>
    <t>Responsible</t>
  </si>
  <si>
    <t>Due Date</t>
  </si>
  <si>
    <t>No duplicate rows</t>
  </si>
  <si>
    <t>COUNTIF on key column — all values = 1</t>
  </si>
  <si>
    <t>No extra spaces in text fields</t>
  </si>
  <si>
    <t>LEN(TRIM(A2))=LEN(A2) is TRUE for all rows</t>
  </si>
  <si>
    <t>Consistent text casing</t>
  </si>
  <si>
    <t>Unique values in category cols match expected list</t>
  </si>
  <si>
    <t>All dates are true date serials</t>
  </si>
  <si>
    <t>ISNUMBER(A2)=TRUE for all date cells</t>
  </si>
  <si>
    <t>No unexpected blank cells</t>
  </si>
  <si>
    <t>COUNTBLANK returns 0 for all mandatory columns</t>
  </si>
  <si>
    <t>All numeric fields are numbers</t>
  </si>
  <si>
    <t>ISNUMBER returns TRUE; no left-aligned numbers</t>
  </si>
  <si>
    <t>Category labels standardised</t>
  </si>
  <si>
    <t>Pivot on category col; unique count matches expected</t>
  </si>
  <si>
    <t>No out-of-range values</t>
  </si>
  <si>
    <t>MIN and MAX match expected bounds for each numeric col</t>
  </si>
  <si>
    <t>Data formatted as Excel Table</t>
  </si>
  <si>
    <t>Ctrl+T applied — enables dynamic named ranges</t>
  </si>
  <si>
    <t>Backup of raw data retained</t>
  </si>
  <si>
    <t>Original sheet or workbook copy preserved before cleaning</t>
  </si>
  <si>
    <t xml:space="preserve"> PROJECT DASHBOARD</t>
  </si>
  <si>
    <t>Project Summary</t>
  </si>
  <si>
    <t>Dashboard Source</t>
  </si>
  <si>
    <t>Project Overview</t>
  </si>
  <si>
    <t>Planning Sheet</t>
  </si>
  <si>
    <t>Resource Allocation</t>
  </si>
  <si>
    <t>Task Monitoring</t>
  </si>
  <si>
    <t>Revenue</t>
  </si>
  <si>
    <t>Tasks</t>
  </si>
  <si>
    <t>Person</t>
  </si>
  <si>
    <t>Avg %</t>
  </si>
  <si>
    <t>📊  PROJECT CLEAN DATA DASHBOARD</t>
  </si>
  <si>
    <t>Built from 120 Cleaned Records  •  Data Cleaning Project  •  Interactive Analytics</t>
  </si>
  <si>
    <t>120</t>
  </si>
  <si>
    <t>97</t>
  </si>
  <si>
    <t>23</t>
  </si>
  <si>
    <t>₹67.2L</t>
  </si>
  <si>
    <t>Total Revenue</t>
  </si>
  <si>
    <t>Avg Completion</t>
  </si>
  <si>
    <t>All cleaned records</t>
  </si>
  <si>
    <t>Currently active tasks</t>
  </si>
  <si>
    <t>Pending tasks</t>
  </si>
  <si>
    <t>Finished tasks</t>
  </si>
  <si>
    <t>Projected revenue</t>
  </si>
  <si>
    <t>Across all tasks</t>
  </si>
  <si>
    <t>▌  INTERACTIVE ANALYTICS  — Based on 120 Cleaned Records</t>
  </si>
  <si>
    <t>▌  CLEANED DATA SUMMARY TABLE  — Top 15 Records by Revenue</t>
  </si>
  <si>
    <t>₹154,000</t>
  </si>
  <si>
    <t>₹140,000</t>
  </si>
  <si>
    <t>Handle Missing Values — Customer Databas</t>
  </si>
  <si>
    <t>₹117,600</t>
  </si>
  <si>
    <t>Split Combined Columns — Contact Databas</t>
  </si>
  <si>
    <t>₹115,500</t>
  </si>
  <si>
    <t>₹112,000</t>
  </si>
  <si>
    <t>Standardize Category Labels — Product SK</t>
  </si>
  <si>
    <t>₹105,000</t>
  </si>
  <si>
    <t>₹98,000</t>
  </si>
  <si>
    <t>Dashboard built from Cleaned Data sheet  •  120 records  •  Data Cleaning Project 2024</t>
  </si>
  <si>
    <t>PROJECT MANAGEMENT  |  KPI BUSINESS METRICS DASHBOARD</t>
  </si>
  <si>
    <t>PROJECT EXECUTION METRICS</t>
  </si>
  <si>
    <t>TOTAL TECHNIQUES</t>
  </si>
  <si>
    <t>COMPLETED</t>
  </si>
  <si>
    <t>IN PROGRESS</t>
  </si>
  <si>
    <t>NOT STARTED</t>
  </si>
  <si>
    <t>Techniques in scope</t>
  </si>
  <si>
    <t>Techniques finished</t>
  </si>
  <si>
    <t>Currently active</t>
  </si>
  <si>
    <t>Yet to begin</t>
  </si>
  <si>
    <t>FINANCIAL &amp; TEAM METRICS</t>
  </si>
  <si>
    <t>TOTAL REVENUE (Rs.)</t>
  </si>
  <si>
    <t>AVG REVENUE / TASK</t>
  </si>
  <si>
    <t>TEAM SIZE</t>
  </si>
  <si>
    <t>TOTAL HOURS ALLOC.</t>
  </si>
  <si>
    <t>Cleaned data revenue total</t>
  </si>
  <si>
    <t>Average per cleaned task</t>
  </si>
  <si>
    <t>Active resources</t>
  </si>
  <si>
    <t>Hours allocated across team</t>
  </si>
  <si>
    <t>PRIORITY &amp; PROGRESS METRICS</t>
  </si>
  <si>
    <t>CRITICAL TASKS</t>
  </si>
  <si>
    <t>OVERALL PROGRESS</t>
  </si>
  <si>
    <t>AVG DAILY RATE (Rs.)</t>
  </si>
  <si>
    <t>PHASES IN SCOPE</t>
  </si>
  <si>
    <t>High-urgency techniques</t>
  </si>
  <si>
    <t>Completion rate (all techniques)</t>
  </si>
  <si>
    <t>Average team daily rate</t>
  </si>
  <si>
    <t>Total technique records</t>
  </si>
  <si>
    <t>PHASE BREAKDOWN</t>
  </si>
  <si>
    <t>TEAM UTILISATION</t>
  </si>
  <si>
    <t>PHASE</t>
  </si>
  <si>
    <t>TOTAL TASKS</t>
  </si>
  <si>
    <t>STATUS</t>
  </si>
  <si>
    <t>RESOURCE</t>
  </si>
  <si>
    <t>UTIL %</t>
  </si>
  <si>
    <t>Phase 1 — Foundation</t>
  </si>
  <si>
    <t>Phase 2 — Structure</t>
  </si>
  <si>
    <t>Phase 3 — Validation</t>
  </si>
  <si>
    <t>Phase 4 — Final QA</t>
  </si>
  <si>
    <t>Data sourced from: Task Tracker | Resource Planner | Cleaned Data | Project Overview</t>
  </si>
  <si>
    <t>Welcome</t>
  </si>
  <si>
    <t>MADE BY
ADITYA SAHA 
SOUPARNO GOSWAMI 
MENTORED BY 
SIR SAYAN SAU</t>
  </si>
  <si>
    <t xml:space="preserve"> Project Management Gantt Chart &amp; Resource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</si>
</sst>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dd\-mmm"/>
    <numFmt numFmtId="167" formatCode="dd\-mmm\-yy"/>
  </numFmts>
  <fonts count="88" x14ac:knownFonts="1">
    <font>
      <sz val="11"/>
      <color theme="1"/>
      <name val="Calibri"/>
      <family val="2"/>
      <charset val="1"/>
    </font>
    <font>
      <b/>
      <sz val="18"/>
      <color rgb="FF00C5A0"/>
      <name val="Arial"/>
      <charset val="1"/>
    </font>
    <font>
      <i/>
      <sz val="10"/>
      <color rgb="FFD6DCE4"/>
      <name val="Arial"/>
      <charset val="1"/>
    </font>
    <font>
      <b/>
      <sz val="11"/>
      <color rgb="FFFFFFFF"/>
      <name val="Arial"/>
      <charset val="1"/>
    </font>
    <font>
      <b/>
      <sz val="20"/>
      <color rgb="FF3A86FF"/>
      <name val="Arial"/>
      <charset val="1"/>
    </font>
    <font>
      <b/>
      <sz val="20"/>
      <color rgb="FF00C5A0"/>
      <name val="Arial"/>
      <charset val="1"/>
    </font>
    <font>
      <b/>
      <sz val="20"/>
      <color rgb="FFFF6B6B"/>
      <name val="Arial"/>
      <charset val="1"/>
    </font>
    <font>
      <b/>
      <sz val="20"/>
      <color rgb="FFFFD93D"/>
      <name val="Arial"/>
      <charset val="1"/>
    </font>
    <font>
      <b/>
      <sz val="20"/>
      <color rgb="FFC77DFF"/>
      <name val="Arial"/>
      <charset val="1"/>
    </font>
    <font>
      <b/>
      <sz val="20"/>
      <color rgb="FFFF8C42"/>
      <name val="Arial"/>
      <charset val="1"/>
    </font>
    <font>
      <b/>
      <sz val="10"/>
      <color rgb="FFFFFFFF"/>
      <name val="Arial"/>
      <charset val="1"/>
    </font>
    <font>
      <i/>
      <sz val="8"/>
      <color rgb="FFD6DCE4"/>
      <name val="Arial"/>
      <charset val="1"/>
    </font>
    <font>
      <b/>
      <sz val="11"/>
      <color rgb="FF00C5A0"/>
      <name val="Arial"/>
      <charset val="1"/>
    </font>
    <font>
      <b/>
      <sz val="11"/>
      <color rgb="FFFFD93D"/>
      <name val="Arial"/>
      <charset val="1"/>
    </font>
    <font>
      <sz val="9"/>
      <color rgb="FFFFFFFF"/>
      <name val="Arial"/>
      <charset val="1"/>
    </font>
    <font>
      <b/>
      <sz val="9"/>
      <color rgb="FF0D1B2A"/>
      <name val="Arial"/>
      <charset val="1"/>
    </font>
    <font>
      <i/>
      <sz val="9"/>
      <color rgb="FFD6DCE4"/>
      <name val="Arial"/>
      <charset val="1"/>
    </font>
    <font>
      <b/>
      <sz val="18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b/>
      <sz val="12"/>
      <color rgb="FF2C3E50"/>
      <name val="Calibri"/>
      <charset val="1"/>
    </font>
    <font>
      <b/>
      <sz val="9"/>
      <color rgb="FFFFFFFF"/>
      <name val="Calibri"/>
      <charset val="1"/>
    </font>
    <font>
      <b/>
      <u/>
      <sz val="9"/>
      <color rgb="FF2980B9"/>
      <name val="Calibri"/>
      <charset val="1"/>
    </font>
    <font>
      <b/>
      <sz val="8"/>
      <name val="Calibri"/>
      <charset val="1"/>
    </font>
    <font>
      <i/>
      <sz val="9"/>
      <name val="Calibri"/>
      <charset val="1"/>
    </font>
    <font>
      <u/>
      <sz val="11"/>
      <color theme="10"/>
      <name val="Calibri"/>
      <family val="2"/>
      <charset val="1"/>
    </font>
    <font>
      <b/>
      <sz val="9"/>
      <color rgb="FFFFFFFF"/>
      <name val="Arial"/>
      <charset val="1"/>
    </font>
    <font>
      <b/>
      <sz val="9"/>
      <color rgb="FF1A6B1A"/>
      <name val="Calibri"/>
      <charset val="1"/>
    </font>
    <font>
      <sz val="9"/>
      <color rgb="FF1A6B1A"/>
      <name val="Calibri"/>
      <charset val="1"/>
    </font>
    <font>
      <b/>
      <sz val="9"/>
      <color rgb="FF1A9C3E"/>
      <name val="Courier New"/>
      <charset val="1"/>
    </font>
    <font>
      <sz val="9"/>
      <color rgb="FF555555"/>
      <name val="Arial"/>
      <charset val="1"/>
    </font>
    <font>
      <b/>
      <sz val="9"/>
      <color rgb="FF8B5E00"/>
      <name val="Calibri"/>
      <charset val="1"/>
    </font>
    <font>
      <sz val="9"/>
      <color rgb="FF8B5E00"/>
      <name val="Calibri"/>
      <charset val="1"/>
    </font>
    <font>
      <b/>
      <sz val="9"/>
      <color rgb="FFCC0000"/>
      <name val="Calibri"/>
      <charset val="1"/>
    </font>
    <font>
      <sz val="9"/>
      <color rgb="FFCC0000"/>
      <name val="Calibri"/>
      <charset val="1"/>
    </font>
    <font>
      <b/>
      <sz val="12"/>
      <color rgb="FFFFFFFF"/>
      <name val="Calibri"/>
      <charset val="1"/>
    </font>
    <font>
      <sz val="9"/>
      <color rgb="FF000000"/>
      <name val="Calibri"/>
      <charset val="1"/>
    </font>
    <font>
      <sz val="9"/>
      <color rgb="FFCC3300"/>
      <name val="Calibri"/>
      <charset val="1"/>
    </font>
    <font>
      <b/>
      <sz val="12"/>
      <color rgb="FFFFFFFF"/>
      <name val="Calibri"/>
      <family val="2"/>
      <charset val="1"/>
    </font>
    <font>
      <b/>
      <sz val="13"/>
      <color rgb="FFFFFFFF"/>
      <name val="Arial"/>
      <charset val="1"/>
    </font>
    <font>
      <u/>
      <sz val="9"/>
      <color rgb="FF0563C1"/>
      <name val="Arial"/>
      <charset val="1"/>
    </font>
    <font>
      <u/>
      <sz val="18"/>
      <color theme="10"/>
      <name val="Calibri"/>
      <family val="2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1"/>
      <color rgb="FF4472C4"/>
      <name val="Calibri"/>
      <charset val="1"/>
    </font>
    <font>
      <sz val="11"/>
      <color rgb="FF70AD47"/>
      <name val="Calibri"/>
      <charset val="1"/>
    </font>
    <font>
      <sz val="11"/>
      <color rgb="FFED7D31"/>
      <name val="Calibri"/>
      <charset val="1"/>
    </font>
    <font>
      <b/>
      <sz val="8"/>
      <color rgb="FF444444"/>
      <name val="Arial"/>
      <charset val="1"/>
    </font>
    <font>
      <sz val="11"/>
      <color rgb="FFC00000"/>
      <name val="Calibri"/>
      <charset val="1"/>
    </font>
    <font>
      <b/>
      <sz val="8"/>
      <color rgb="FF333333"/>
      <name val="Arial"/>
      <charset val="1"/>
    </font>
    <font>
      <b/>
      <sz val="8"/>
      <color rgb="FF999999"/>
      <name val="Arial"/>
      <charset val="1"/>
    </font>
    <font>
      <sz val="8"/>
      <color rgb="FF999999"/>
      <name val="Arial"/>
      <charset val="1"/>
    </font>
    <font>
      <b/>
      <sz val="9"/>
      <color rgb="FF000000"/>
      <name val="Calibri"/>
      <charset val="1"/>
    </font>
    <font>
      <b/>
      <i/>
      <sz val="9"/>
      <color rgb="FF2980B9"/>
      <name val="Calibri"/>
      <charset val="1"/>
    </font>
    <font>
      <b/>
      <sz val="14"/>
      <color rgb="FFFFFFFF"/>
      <name val="Calibri"/>
      <charset val="1"/>
    </font>
    <font>
      <b/>
      <sz val="16"/>
      <name val="Calibri"/>
      <charset val="1"/>
    </font>
    <font>
      <b/>
      <sz val="11"/>
      <name val="Calibri"/>
      <charset val="1"/>
    </font>
    <font>
      <b/>
      <sz val="16"/>
      <color rgb="FFFFFFFF"/>
      <name val="Arial"/>
      <charset val="1"/>
    </font>
    <font>
      <b/>
      <sz val="9"/>
      <color rgb="FF64748B"/>
      <name val="Arial"/>
      <charset val="1"/>
    </font>
    <font>
      <b/>
      <sz val="8"/>
      <color rgb="FF374151"/>
      <name val="Arial"/>
      <charset val="1"/>
    </font>
    <font>
      <b/>
      <sz val="22"/>
      <color rgb="FF2563EB"/>
      <name val="Arial"/>
      <charset val="1"/>
    </font>
    <font>
      <b/>
      <sz val="22"/>
      <color rgb="FF16A34A"/>
      <name val="Arial"/>
      <charset val="1"/>
    </font>
    <font>
      <b/>
      <sz val="22"/>
      <color rgb="FFD97706"/>
      <name val="Arial"/>
      <charset val="1"/>
    </font>
    <font>
      <b/>
      <sz val="22"/>
      <color rgb="FFDC2626"/>
      <name val="Arial"/>
      <charset val="1"/>
    </font>
    <font>
      <i/>
      <sz val="7"/>
      <color rgb="FF64748B"/>
      <name val="Arial"/>
      <charset val="1"/>
    </font>
    <font>
      <b/>
      <sz val="16"/>
      <color rgb="FF7C3AED"/>
      <name val="Arial"/>
      <charset val="1"/>
    </font>
    <font>
      <b/>
      <sz val="16"/>
      <color rgb="FF2563EB"/>
      <name val="Arial"/>
      <charset val="1"/>
    </font>
    <font>
      <b/>
      <sz val="16"/>
      <color rgb="FF16A34A"/>
      <name val="Arial"/>
      <charset val="1"/>
    </font>
    <font>
      <b/>
      <sz val="16"/>
      <color rgb="FFD97706"/>
      <name val="Arial"/>
      <charset val="1"/>
    </font>
    <font>
      <b/>
      <sz val="16"/>
      <color rgb="FFDC2626"/>
      <name val="Arial"/>
      <charset val="1"/>
    </font>
    <font>
      <b/>
      <sz val="9"/>
      <color rgb="FF1E293B"/>
      <name val="Arial"/>
      <charset val="1"/>
    </font>
    <font>
      <sz val="10"/>
      <color rgb="FF1E293B"/>
      <name val="Arial"/>
      <charset val="1"/>
    </font>
    <font>
      <b/>
      <sz val="10"/>
      <color rgb="FF16A34A"/>
      <name val="Arial"/>
      <charset val="1"/>
    </font>
    <font>
      <b/>
      <sz val="9"/>
      <color rgb="FF16A34A"/>
      <name val="Arial"/>
      <charset val="1"/>
    </font>
    <font>
      <sz val="9"/>
      <color rgb="FF1E293B"/>
      <name val="Arial"/>
      <charset val="1"/>
    </font>
    <font>
      <b/>
      <sz val="9"/>
      <color rgb="FF2563EB"/>
      <name val="Arial"/>
      <charset val="1"/>
    </font>
    <font>
      <b/>
      <sz val="10"/>
      <color rgb="FF2563EB"/>
      <name val="Arial"/>
      <charset val="1"/>
    </font>
    <font>
      <b/>
      <sz val="10"/>
      <color rgb="FFD97706"/>
      <name val="Arial"/>
      <charset val="1"/>
    </font>
    <font>
      <b/>
      <sz val="9"/>
      <color rgb="FFD97706"/>
      <name val="Arial"/>
      <charset val="1"/>
    </font>
    <font>
      <b/>
      <sz val="10"/>
      <color rgb="FFDC2626"/>
      <name val="Arial"/>
      <charset val="1"/>
    </font>
    <font>
      <b/>
      <sz val="9"/>
      <color rgb="FFDC2626"/>
      <name val="Arial"/>
      <charset val="1"/>
    </font>
    <font>
      <sz val="28"/>
      <color theme="1"/>
      <name val="Calibri"/>
      <family val="2"/>
    </font>
    <font>
      <sz val="72"/>
      <color theme="1"/>
      <name val="Calibri"/>
      <family val="2"/>
    </font>
    <font>
      <sz val="14"/>
      <color theme="1"/>
      <name val="Boucherie Block"/>
    </font>
    <font>
      <b/>
      <sz val="18"/>
      <color rgb="FFFFFFFF"/>
      <name val="Calibri"/>
      <family val="2"/>
    </font>
  </fonts>
  <fills count="58">
    <fill>
      <patternFill patternType="none"/>
    </fill>
    <fill>
      <patternFill patternType="gray125"/>
    </fill>
    <fill>
      <patternFill patternType="mediumGray">
        <fgColor rgb="FF1E2938"/>
        <bgColor rgb="FF1C293C"/>
      </patternFill>
    </fill>
    <fill>
      <patternFill patternType="solid">
        <fgColor rgb="FF0D1B2A"/>
        <bgColor rgb="FF172137"/>
      </patternFill>
    </fill>
    <fill>
      <patternFill patternType="solid">
        <fgColor rgb="FF263547"/>
        <bgColor rgb="FF2E3F4F"/>
      </patternFill>
    </fill>
    <fill>
      <patternFill patternType="solid">
        <fgColor rgb="FF3A86FF"/>
        <bgColor rgb="FF2980B9"/>
      </patternFill>
    </fill>
    <fill>
      <patternFill patternType="solid">
        <fgColor rgb="FF00C5A0"/>
        <bgColor rgb="FF2ECC71"/>
      </patternFill>
    </fill>
    <fill>
      <patternFill patternType="solid">
        <fgColor rgb="FFFF6B6B"/>
        <bgColor rgb="FFFE893C"/>
      </patternFill>
    </fill>
    <fill>
      <patternFill patternType="solid">
        <fgColor rgb="FFFFD93D"/>
        <bgColor rgb="FFFAD7A0"/>
      </patternFill>
    </fill>
    <fill>
      <patternFill patternType="solid">
        <fgColor rgb="FFC77DFF"/>
        <bgColor rgb="FFAAB7B8"/>
      </patternFill>
    </fill>
    <fill>
      <patternFill patternType="solid">
        <fgColor rgb="FFFE893C"/>
        <bgColor rgb="FFF39C12"/>
      </patternFill>
    </fill>
    <fill>
      <patternFill patternType="darkGray">
        <fgColor rgb="FF1A2530"/>
        <bgColor rgb="FF172137"/>
      </patternFill>
    </fill>
    <fill>
      <patternFill patternType="solid">
        <fgColor rgb="FF2563EB"/>
        <bgColor rgb="FF1677BD"/>
      </patternFill>
    </fill>
    <fill>
      <patternFill patternType="solid">
        <fgColor rgb="FF2980B9"/>
        <bgColor rgb="FF1677BD"/>
      </patternFill>
    </fill>
    <fill>
      <patternFill patternType="solid">
        <fgColor rgb="FF2E3F4F"/>
        <bgColor rgb="FF263547"/>
      </patternFill>
    </fill>
    <fill>
      <patternFill patternType="solid">
        <fgColor rgb="FFEBF5FB"/>
        <bgColor rgb="FFF0F4FA"/>
      </patternFill>
    </fill>
    <fill>
      <patternFill patternType="solid">
        <fgColor rgb="FFBDC3C7"/>
        <bgColor rgb="FFCCCCCC"/>
      </patternFill>
    </fill>
    <fill>
      <patternFill patternType="solid">
        <fgColor rgb="FFF8F9FA"/>
        <bgColor rgb="FFF5F5F5"/>
      </patternFill>
    </fill>
    <fill>
      <patternFill patternType="solid">
        <fgColor rgb="FFD6E4F0"/>
        <bgColor rgb="FFD6E8F7"/>
      </patternFill>
    </fill>
    <fill>
      <patternFill patternType="solid">
        <fgColor rgb="FFD5F5E3"/>
        <bgColor rgb="FFD5F0DE"/>
      </patternFill>
    </fill>
    <fill>
      <patternFill patternType="solid">
        <fgColor rgb="FFFADBD8"/>
        <bgColor rgb="FFFAD7D5"/>
      </patternFill>
    </fill>
    <fill>
      <patternFill patternType="mediumGray">
        <fgColor rgb="FF1A9735"/>
        <bgColor rgb="FF16A34A"/>
      </patternFill>
    </fill>
    <fill>
      <patternFill patternType="solid">
        <fgColor rgb="FF2C3E6B"/>
        <bgColor rgb="FF1E4070"/>
      </patternFill>
    </fill>
    <fill>
      <patternFill patternType="solid">
        <fgColor rgb="FFEAFAF1"/>
        <bgColor rgb="FFEBF5FB"/>
      </patternFill>
    </fill>
    <fill>
      <patternFill patternType="solid">
        <fgColor rgb="FFFEFAE7"/>
        <bgColor rgb="FFF8F9FA"/>
      </patternFill>
    </fill>
    <fill>
      <patternFill patternType="darkGray">
        <fgColor rgb="FF8F3C07"/>
        <bgColor rgb="FFC43814"/>
      </patternFill>
    </fill>
    <fill>
      <patternFill patternType="solid">
        <fgColor rgb="FF1E4070"/>
        <bgColor rgb="FF2C3E6B"/>
      </patternFill>
    </fill>
    <fill>
      <patternFill patternType="solid">
        <fgColor rgb="FFA9DFBF"/>
        <bgColor rgb="FFBDC3C7"/>
      </patternFill>
    </fill>
    <fill>
      <patternFill patternType="solid">
        <fgColor rgb="FFFAD7A0"/>
        <bgColor rgb="FFFAD7D5"/>
      </patternFill>
    </fill>
    <fill>
      <patternFill patternType="darkGray">
        <fgColor rgb="FFD7DBDF"/>
        <bgColor rgb="FFD6DCE4"/>
      </patternFill>
    </fill>
    <fill>
      <patternFill patternType="solid">
        <fgColor rgb="FF172137"/>
        <bgColor rgb="FF1A2530"/>
      </patternFill>
    </fill>
    <fill>
      <patternFill patternType="darkGray">
        <fgColor rgb="FFEFF2F6"/>
        <bgColor rgb="FFF0F4FA"/>
      </patternFill>
    </fill>
    <fill>
      <patternFill patternType="darkGray">
        <fgColor rgb="FF1677BD"/>
        <bgColor rgb="FF2980B9"/>
      </patternFill>
    </fill>
    <fill>
      <patternFill patternType="darkGray">
        <fgColor rgb="FFDB6D0A"/>
        <bgColor rgb="FFDB7706"/>
      </patternFill>
    </fill>
    <fill>
      <patternFill patternType="solid">
        <fgColor rgb="FFD6E8F7"/>
        <bgColor rgb="FFD6E4F0"/>
      </patternFill>
    </fill>
    <fill>
      <patternFill patternType="solid">
        <fgColor rgb="FF2ECC71"/>
        <bgColor rgb="FF00C5A0"/>
      </patternFill>
    </fill>
    <fill>
      <patternFill patternType="darkGray">
        <fgColor rgb="FFEFF2F6"/>
        <bgColor rgb="FFF3F4F6"/>
      </patternFill>
    </fill>
    <fill>
      <patternFill patternType="solid">
        <fgColor rgb="FFD5F0DE"/>
        <bgColor rgb="FFD5F5E3"/>
      </patternFill>
    </fill>
    <fill>
      <patternFill patternType="solid">
        <fgColor rgb="FFF39C12"/>
        <bgColor rgb="FFFE893C"/>
      </patternFill>
    </fill>
    <fill>
      <patternFill patternType="solid">
        <fgColor rgb="FFFDE8D1"/>
        <bgColor rgb="FFFADBD8"/>
      </patternFill>
    </fill>
    <fill>
      <patternFill patternType="solid">
        <fgColor rgb="FFCCCCCC"/>
        <bgColor rgb="FFD1D5DB"/>
      </patternFill>
    </fill>
    <fill>
      <patternFill patternType="solid">
        <fgColor rgb="FFC43814"/>
        <bgColor rgb="FF8F3C07"/>
      </patternFill>
    </fill>
    <fill>
      <patternFill patternType="solid">
        <fgColor rgb="FFFAD7D5"/>
        <bgColor rgb="FFFADBD8"/>
      </patternFill>
    </fill>
    <fill>
      <patternFill patternType="solid">
        <fgColor rgb="FFEAECF0"/>
        <bgColor rgb="FFEFF2F6"/>
      </patternFill>
    </fill>
    <fill>
      <patternFill patternType="solid">
        <fgColor rgb="FF1A2530"/>
        <bgColor rgb="FF172137"/>
      </patternFill>
    </fill>
    <fill>
      <patternFill patternType="solid">
        <fgColor rgb="FFF5F5F5"/>
        <bgColor rgb="FFF3F4F6"/>
      </patternFill>
    </fill>
    <fill>
      <patternFill patternType="solid">
        <fgColor rgb="FF1E2938"/>
        <bgColor rgb="FF1C293C"/>
      </patternFill>
    </fill>
    <fill>
      <patternFill patternType="solid">
        <fgColor rgb="FF16A34A"/>
        <bgColor rgb="FF1A9735"/>
      </patternFill>
    </fill>
    <fill>
      <patternFill patternType="solid">
        <fgColor rgb="FFDB6D0A"/>
        <bgColor rgb="FFDB7706"/>
      </patternFill>
    </fill>
    <fill>
      <patternFill patternType="mediumGray">
        <fgColor rgb="FFDA0F0F"/>
        <bgColor rgb="FFC43814"/>
      </patternFill>
    </fill>
    <fill>
      <patternFill patternType="solid">
        <fgColor rgb="FFF3F4F6"/>
        <bgColor rgb="FFF5F5F5"/>
      </patternFill>
    </fill>
    <fill>
      <patternFill patternType="solid">
        <fgColor rgb="FFF0F4FA"/>
        <bgColor rgb="FFEFF2F6"/>
      </patternFill>
    </fill>
    <fill>
      <patternFill patternType="solid">
        <fgColor rgb="FF1C293C"/>
        <bgColor rgb="FF1E2938"/>
      </patternFill>
    </fill>
    <fill>
      <patternFill patternType="solid">
        <fgColor rgb="FFDB7706"/>
        <bgColor rgb="FFDB6D0A"/>
      </patternFill>
    </fill>
    <fill>
      <patternFill patternType="solid">
        <fgColor rgb="FFFFFFFF"/>
        <bgColor rgb="FFF8F9FA"/>
      </patternFill>
    </fill>
    <fill>
      <patternFill patternType="solid">
        <fgColor rgb="FF5E5AD1"/>
        <bgColor rgb="FF2563EB"/>
      </patternFill>
    </fill>
    <fill>
      <patternFill patternType="darkGray">
        <fgColor rgb="FF1E4070"/>
        <bgColor rgb="FF2C3E6B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 style="thin">
        <color rgb="FF5E5AD1"/>
      </left>
      <right style="thin">
        <color rgb="FF5E5AD1"/>
      </right>
      <top style="thin">
        <color rgb="FF5E5AD1"/>
      </top>
      <bottom style="thin">
        <color rgb="FF5E5AD1"/>
      </bottom>
      <diagonal/>
    </border>
    <border>
      <left style="thin">
        <color rgb="FF1A9735"/>
      </left>
      <right style="thin">
        <color rgb="FF1A9735"/>
      </right>
      <top style="thin">
        <color rgb="FF1A9735"/>
      </top>
      <bottom style="thin">
        <color rgb="FF1A9735"/>
      </bottom>
      <diagonal/>
    </border>
    <border>
      <left style="thin">
        <color rgb="FFD7DBDF"/>
      </left>
      <right style="thin">
        <color rgb="FFD7DBDF"/>
      </right>
      <top style="thin">
        <color rgb="FFD7DBDF"/>
      </top>
      <bottom style="thin">
        <color rgb="FFD7DBD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AB7B8"/>
      </bottom>
      <diagonal/>
    </border>
    <border>
      <left style="thin">
        <color rgb="FFEFF2F6"/>
      </left>
      <right style="thin">
        <color rgb="FFEFF2F6"/>
      </right>
      <top style="thin">
        <color rgb="FFEFF2F6"/>
      </top>
      <bottom style="thin">
        <color rgb="FFEFF2F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7" fillId="0" borderId="0"/>
  </cellStyleXfs>
  <cellXfs count="271">
    <xf numFmtId="0" fontId="0" fillId="0" borderId="0" xfId="0"/>
    <xf numFmtId="0" fontId="0" fillId="2" borderId="0" xfId="0" applyFill="1"/>
    <xf numFmtId="0" fontId="10" fillId="5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28" fillId="21" borderId="2" xfId="0" applyFont="1" applyFill="1" applyBorder="1" applyAlignment="1">
      <alignment horizontal="center" vertical="center"/>
    </xf>
    <xf numFmtId="0" fontId="28" fillId="22" borderId="2" xfId="0" applyFont="1" applyFill="1" applyBorder="1" applyAlignment="1">
      <alignment horizontal="center" vertical="center"/>
    </xf>
    <xf numFmtId="0" fontId="32" fillId="24" borderId="4" xfId="0" applyFont="1" applyFill="1" applyBorder="1" applyAlignment="1">
      <alignment horizontal="left" vertical="center" indent="1"/>
    </xf>
    <xf numFmtId="0" fontId="31" fillId="23" borderId="3" xfId="0" applyFont="1" applyFill="1" applyBorder="1" applyAlignment="1">
      <alignment horizontal="left" vertical="center" indent="1"/>
    </xf>
    <xf numFmtId="3" fontId="31" fillId="23" borderId="3" xfId="0" applyNumberFormat="1" applyFont="1" applyFill="1" applyBorder="1" applyAlignment="1">
      <alignment horizontal="left" vertical="center" indent="1"/>
    </xf>
    <xf numFmtId="0" fontId="27" fillId="0" borderId="0" xfId="0" applyFont="1" applyAlignment="1">
      <alignment horizontal="right" vertical="center"/>
    </xf>
    <xf numFmtId="0" fontId="0" fillId="30" borderId="0" xfId="0" applyFill="1"/>
    <xf numFmtId="0" fontId="42" fillId="31" borderId="0" xfId="0" applyFont="1" applyFill="1" applyAlignment="1">
      <alignment horizontal="right" vertical="center"/>
    </xf>
    <xf numFmtId="0" fontId="0" fillId="31" borderId="0" xfId="0" applyFill="1"/>
    <xf numFmtId="0" fontId="43" fillId="31" borderId="0" xfId="0" applyFont="1" applyFill="1"/>
    <xf numFmtId="0" fontId="28" fillId="22" borderId="2" xfId="0" applyFont="1" applyFill="1" applyBorder="1" applyAlignment="1">
      <alignment horizontal="center" vertical="center" wrapText="1"/>
    </xf>
    <xf numFmtId="0" fontId="44" fillId="32" borderId="6" xfId="0" applyFont="1" applyFill="1" applyBorder="1" applyAlignment="1">
      <alignment horizontal="center" vertical="center"/>
    </xf>
    <xf numFmtId="0" fontId="44" fillId="21" borderId="6" xfId="0" applyFont="1" applyFill="1" applyBorder="1" applyAlignment="1">
      <alignment horizontal="center" vertical="center"/>
    </xf>
    <xf numFmtId="0" fontId="44" fillId="33" borderId="6" xfId="0" applyFont="1" applyFill="1" applyBorder="1" applyAlignment="1">
      <alignment horizontal="center" vertical="center"/>
    </xf>
    <xf numFmtId="0" fontId="10" fillId="32" borderId="1" xfId="0" applyFont="1" applyFill="1" applyBorder="1" applyAlignment="1">
      <alignment horizontal="left" vertical="center" indent="1"/>
    </xf>
    <xf numFmtId="0" fontId="0" fillId="32" borderId="7" xfId="0" applyFill="1" applyBorder="1"/>
    <xf numFmtId="0" fontId="46" fillId="34" borderId="8" xfId="0" applyFont="1" applyFill="1" applyBorder="1" applyAlignment="1">
      <alignment horizontal="left" vertical="center" indent="1"/>
    </xf>
    <xf numFmtId="166" fontId="45" fillId="34" borderId="8" xfId="0" applyNumberFormat="1" applyFont="1" applyFill="1" applyBorder="1" applyAlignment="1">
      <alignment horizontal="center" vertical="center"/>
    </xf>
    <xf numFmtId="0" fontId="44" fillId="35" borderId="8" xfId="0" applyFont="1" applyFill="1" applyBorder="1" applyAlignment="1">
      <alignment horizontal="center" vertical="center"/>
    </xf>
    <xf numFmtId="9" fontId="45" fillId="34" borderId="8" xfId="0" applyNumberFormat="1" applyFont="1" applyFill="1" applyBorder="1" applyAlignment="1">
      <alignment horizontal="center" vertical="center"/>
    </xf>
    <xf numFmtId="0" fontId="47" fillId="35" borderId="9" xfId="0" applyFont="1" applyFill="1" applyBorder="1" applyAlignment="1">
      <alignment horizontal="center" vertical="center"/>
    </xf>
    <xf numFmtId="0" fontId="0" fillId="36" borderId="4" xfId="0" applyFill="1" applyBorder="1" applyAlignment="1">
      <alignment horizontal="center" vertical="center"/>
    </xf>
    <xf numFmtId="0" fontId="10" fillId="21" borderId="1" xfId="0" applyFont="1" applyFill="1" applyBorder="1" applyAlignment="1">
      <alignment horizontal="left" vertical="center" indent="1"/>
    </xf>
    <xf numFmtId="0" fontId="0" fillId="21" borderId="7" xfId="0" applyFill="1" applyBorder="1"/>
    <xf numFmtId="0" fontId="46" fillId="37" borderId="8" xfId="0" applyFont="1" applyFill="1" applyBorder="1" applyAlignment="1">
      <alignment horizontal="left" vertical="center" indent="1"/>
    </xf>
    <xf numFmtId="166" fontId="45" fillId="37" borderId="8" xfId="0" applyNumberFormat="1" applyFont="1" applyFill="1" applyBorder="1" applyAlignment="1">
      <alignment horizontal="center" vertical="center"/>
    </xf>
    <xf numFmtId="9" fontId="45" fillId="37" borderId="8" xfId="0" applyNumberFormat="1" applyFont="1" applyFill="1" applyBorder="1" applyAlignment="1">
      <alignment horizontal="center" vertical="center"/>
    </xf>
    <xf numFmtId="0" fontId="48" fillId="35" borderId="9" xfId="0" applyFont="1" applyFill="1" applyBorder="1" applyAlignment="1">
      <alignment horizontal="center" vertical="center"/>
    </xf>
    <xf numFmtId="0" fontId="48" fillId="38" borderId="10" xfId="0" applyFont="1" applyFill="1" applyBorder="1" applyAlignment="1">
      <alignment horizontal="center" vertical="center"/>
    </xf>
    <xf numFmtId="0" fontId="10" fillId="33" borderId="1" xfId="0" applyFont="1" applyFill="1" applyBorder="1" applyAlignment="1">
      <alignment horizontal="left" vertical="center" indent="1"/>
    </xf>
    <xf numFmtId="0" fontId="0" fillId="33" borderId="7" xfId="0" applyFill="1" applyBorder="1"/>
    <xf numFmtId="0" fontId="46" fillId="39" borderId="8" xfId="0" applyFont="1" applyFill="1" applyBorder="1" applyAlignment="1">
      <alignment horizontal="left" vertical="center" indent="1"/>
    </xf>
    <xf numFmtId="166" fontId="45" fillId="39" borderId="8" xfId="0" applyNumberFormat="1" applyFont="1" applyFill="1" applyBorder="1" applyAlignment="1">
      <alignment horizontal="center" vertical="center"/>
    </xf>
    <xf numFmtId="0" fontId="44" fillId="38" borderId="8" xfId="0" applyFont="1" applyFill="1" applyBorder="1" applyAlignment="1">
      <alignment horizontal="center" vertical="center"/>
    </xf>
    <xf numFmtId="9" fontId="45" fillId="39" borderId="8" xfId="0" applyNumberFormat="1" applyFont="1" applyFill="1" applyBorder="1" applyAlignment="1">
      <alignment horizontal="center" vertical="center"/>
    </xf>
    <xf numFmtId="0" fontId="49" fillId="38" borderId="10" xfId="0" applyFont="1" applyFill="1" applyBorder="1" applyAlignment="1">
      <alignment horizontal="center" vertical="center"/>
    </xf>
    <xf numFmtId="0" fontId="50" fillId="40" borderId="8" xfId="0" applyFont="1" applyFill="1" applyBorder="1" applyAlignment="1">
      <alignment horizontal="center" vertical="center"/>
    </xf>
    <xf numFmtId="0" fontId="49" fillId="40" borderId="8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left" vertical="center" indent="1"/>
    </xf>
    <xf numFmtId="0" fontId="0" fillId="41" borderId="7" xfId="0" applyFill="1" applyBorder="1"/>
    <xf numFmtId="0" fontId="45" fillId="42" borderId="8" xfId="0" applyFont="1" applyFill="1" applyBorder="1" applyAlignment="1">
      <alignment horizontal="center" vertical="center"/>
    </xf>
    <xf numFmtId="0" fontId="46" fillId="42" borderId="8" xfId="0" applyFont="1" applyFill="1" applyBorder="1" applyAlignment="1">
      <alignment horizontal="left" vertical="center" indent="1"/>
    </xf>
    <xf numFmtId="166" fontId="45" fillId="42" borderId="8" xfId="0" applyNumberFormat="1" applyFont="1" applyFill="1" applyBorder="1" applyAlignment="1">
      <alignment horizontal="center" vertical="center"/>
    </xf>
    <xf numFmtId="9" fontId="45" fillId="42" borderId="8" xfId="0" applyNumberFormat="1" applyFont="1" applyFill="1" applyBorder="1" applyAlignment="1">
      <alignment horizontal="center" vertical="center"/>
    </xf>
    <xf numFmtId="0" fontId="51" fillId="40" borderId="8" xfId="0" applyFont="1" applyFill="1" applyBorder="1" applyAlignment="1">
      <alignment horizontal="center" vertical="center"/>
    </xf>
    <xf numFmtId="0" fontId="46" fillId="43" borderId="0" xfId="0" applyFont="1" applyFill="1"/>
    <xf numFmtId="0" fontId="44" fillId="32" borderId="11" xfId="0" applyFont="1" applyFill="1" applyBorder="1" applyAlignment="1">
      <alignment horizontal="center" vertical="center"/>
    </xf>
    <xf numFmtId="0" fontId="44" fillId="21" borderId="11" xfId="0" applyFont="1" applyFill="1" applyBorder="1" applyAlignment="1">
      <alignment horizontal="center" vertical="center"/>
    </xf>
    <xf numFmtId="0" fontId="44" fillId="33" borderId="11" xfId="0" applyFont="1" applyFill="1" applyBorder="1" applyAlignment="1">
      <alignment horizontal="center" vertical="center"/>
    </xf>
    <xf numFmtId="0" fontId="44" fillId="41" borderId="11" xfId="0" applyFont="1" applyFill="1" applyBorder="1" applyAlignment="1">
      <alignment horizontal="center" vertical="center"/>
    </xf>
    <xf numFmtId="0" fontId="44" fillId="35" borderId="11" xfId="0" applyFont="1" applyFill="1" applyBorder="1" applyAlignment="1">
      <alignment horizontal="center" vertical="center"/>
    </xf>
    <xf numFmtId="0" fontId="44" fillId="38" borderId="11" xfId="0" applyFont="1" applyFill="1" applyBorder="1" applyAlignment="1">
      <alignment horizontal="center" vertical="center"/>
    </xf>
    <xf numFmtId="0" fontId="52" fillId="40" borderId="11" xfId="0" applyFont="1" applyFill="1" applyBorder="1" applyAlignment="1">
      <alignment horizontal="center" vertical="center"/>
    </xf>
    <xf numFmtId="0" fontId="53" fillId="45" borderId="0" xfId="0" applyFont="1" applyFill="1"/>
    <xf numFmtId="0" fontId="54" fillId="45" borderId="13" xfId="0" applyFont="1" applyFill="1" applyBorder="1" applyAlignment="1">
      <alignment horizontal="left" vertical="center" indent="1"/>
    </xf>
    <xf numFmtId="0" fontId="59" fillId="0" borderId="14" xfId="0" applyFont="1" applyBorder="1"/>
    <xf numFmtId="0" fontId="0" fillId="0" borderId="14" xfId="0" applyBorder="1"/>
    <xf numFmtId="0" fontId="59" fillId="0" borderId="0" xfId="0" applyFont="1"/>
    <xf numFmtId="0" fontId="0" fillId="51" borderId="0" xfId="0" applyFill="1"/>
    <xf numFmtId="0" fontId="44" fillId="56" borderId="0" xfId="0" applyFont="1" applyFill="1" applyAlignment="1">
      <alignment horizontal="center" vertical="center"/>
    </xf>
    <xf numFmtId="0" fontId="45" fillId="34" borderId="8" xfId="0" applyFont="1" applyFill="1" applyBorder="1" applyAlignment="1">
      <alignment horizontal="center" vertical="center"/>
    </xf>
    <xf numFmtId="0" fontId="45" fillId="37" borderId="8" xfId="0" applyFont="1" applyFill="1" applyBorder="1" applyAlignment="1">
      <alignment horizontal="center" vertical="center"/>
    </xf>
    <xf numFmtId="0" fontId="45" fillId="39" borderId="8" xfId="0" applyFont="1" applyFill="1" applyBorder="1" applyAlignment="1">
      <alignment horizontal="center" vertical="center"/>
    </xf>
    <xf numFmtId="0" fontId="78" fillId="54" borderId="15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left" vertical="center"/>
    </xf>
    <xf numFmtId="0" fontId="20" fillId="16" borderId="6" xfId="0" applyFont="1" applyFill="1" applyBorder="1" applyAlignment="1">
      <alignment horizontal="center" vertical="center"/>
    </xf>
    <xf numFmtId="0" fontId="22" fillId="17" borderId="6" xfId="0" applyFont="1" applyFill="1" applyBorder="1" applyAlignment="1">
      <alignment horizontal="center" vertical="center"/>
    </xf>
    <xf numFmtId="9" fontId="22" fillId="17" borderId="6" xfId="0" applyNumberFormat="1" applyFont="1" applyFill="1" applyBorder="1" applyAlignment="1">
      <alignment horizontal="center" vertical="center"/>
    </xf>
    <xf numFmtId="0" fontId="23" fillId="16" borderId="6" xfId="0" applyFont="1" applyFill="1" applyBorder="1" applyAlignment="1">
      <alignment horizontal="center" vertical="center"/>
    </xf>
    <xf numFmtId="0" fontId="24" fillId="18" borderId="6" xfId="0" applyFont="1" applyFill="1" applyBorder="1" applyAlignment="1">
      <alignment horizontal="left" vertical="center"/>
    </xf>
    <xf numFmtId="0" fontId="25" fillId="18" borderId="6" xfId="0" applyFont="1" applyFill="1" applyBorder="1" applyAlignment="1">
      <alignment horizontal="center" vertical="center"/>
    </xf>
    <xf numFmtId="0" fontId="27" fillId="18" borderId="6" xfId="0" applyFont="1" applyFill="1" applyBorder="1" applyAlignment="1">
      <alignment horizontal="center" vertical="center"/>
    </xf>
    <xf numFmtId="0" fontId="24" fillId="19" borderId="6" xfId="0" applyFont="1" applyFill="1" applyBorder="1" applyAlignment="1">
      <alignment horizontal="left" vertical="center"/>
    </xf>
    <xf numFmtId="0" fontId="25" fillId="19" borderId="6" xfId="0" applyFont="1" applyFill="1" applyBorder="1" applyAlignment="1">
      <alignment horizontal="center" vertical="center"/>
    </xf>
    <xf numFmtId="0" fontId="27" fillId="19" borderId="6" xfId="0" applyFont="1" applyFill="1" applyBorder="1" applyAlignment="1">
      <alignment horizontal="center" vertical="center"/>
    </xf>
    <xf numFmtId="0" fontId="24" fillId="24" borderId="6" xfId="0" applyFont="1" applyFill="1" applyBorder="1" applyAlignment="1">
      <alignment horizontal="left" vertical="center"/>
    </xf>
    <xf numFmtId="0" fontId="25" fillId="24" borderId="6" xfId="0" applyFont="1" applyFill="1" applyBorder="1" applyAlignment="1">
      <alignment horizontal="center" vertical="center"/>
    </xf>
    <xf numFmtId="0" fontId="27" fillId="24" borderId="6" xfId="0" applyFont="1" applyFill="1" applyBorder="1" applyAlignment="1">
      <alignment horizontal="center" vertical="center"/>
    </xf>
    <xf numFmtId="0" fontId="24" fillId="20" borderId="6" xfId="0" applyFont="1" applyFill="1" applyBorder="1" applyAlignment="1">
      <alignment horizontal="left" vertical="center"/>
    </xf>
    <xf numFmtId="0" fontId="25" fillId="20" borderId="6" xfId="0" applyFont="1" applyFill="1" applyBorder="1" applyAlignment="1">
      <alignment horizontal="center" vertical="center"/>
    </xf>
    <xf numFmtId="0" fontId="27" fillId="24" borderId="6" xfId="1" applyFill="1" applyBorder="1" applyAlignment="1">
      <alignment horizontal="center" vertical="center"/>
    </xf>
    <xf numFmtId="0" fontId="29" fillId="18" borderId="6" xfId="0" applyFont="1" applyFill="1" applyBorder="1" applyAlignment="1">
      <alignment horizontal="center" vertical="center"/>
    </xf>
    <xf numFmtId="0" fontId="30" fillId="18" borderId="6" xfId="0" applyFont="1" applyFill="1" applyBorder="1" applyAlignment="1">
      <alignment horizontal="left" vertical="center"/>
    </xf>
    <xf numFmtId="0" fontId="30" fillId="18" borderId="6" xfId="0" applyFont="1" applyFill="1" applyBorder="1" applyAlignment="1">
      <alignment horizontal="center" vertical="center"/>
    </xf>
    <xf numFmtId="0" fontId="29" fillId="19" borderId="6" xfId="0" applyFont="1" applyFill="1" applyBorder="1" applyAlignment="1">
      <alignment horizontal="center" vertical="center"/>
    </xf>
    <xf numFmtId="0" fontId="30" fillId="19" borderId="6" xfId="0" applyFont="1" applyFill="1" applyBorder="1" applyAlignment="1">
      <alignment horizontal="left" vertical="center"/>
    </xf>
    <xf numFmtId="0" fontId="30" fillId="19" borderId="6" xfId="0" applyFont="1" applyFill="1" applyBorder="1" applyAlignment="1">
      <alignment horizontal="center" vertical="center"/>
    </xf>
    <xf numFmtId="0" fontId="33" fillId="19" borderId="6" xfId="0" applyFont="1" applyFill="1" applyBorder="1" applyAlignment="1">
      <alignment horizontal="center" vertical="center"/>
    </xf>
    <xf numFmtId="0" fontId="34" fillId="19" borderId="6" xfId="0" applyFont="1" applyFill="1" applyBorder="1" applyAlignment="1">
      <alignment horizontal="left" vertical="center"/>
    </xf>
    <xf numFmtId="0" fontId="34" fillId="19" borderId="6" xfId="0" applyFont="1" applyFill="1" applyBorder="1" applyAlignment="1">
      <alignment horizontal="center" vertical="center"/>
    </xf>
    <xf numFmtId="0" fontId="33" fillId="24" borderId="6" xfId="0" applyFont="1" applyFill="1" applyBorder="1" applyAlignment="1">
      <alignment horizontal="center" vertical="center"/>
    </xf>
    <xf numFmtId="0" fontId="34" fillId="24" borderId="6" xfId="0" applyFont="1" applyFill="1" applyBorder="1" applyAlignment="1">
      <alignment horizontal="left" vertical="center"/>
    </xf>
    <xf numFmtId="0" fontId="34" fillId="24" borderId="6" xfId="0" applyFont="1" applyFill="1" applyBorder="1" applyAlignment="1">
      <alignment horizontal="center" vertical="center"/>
    </xf>
    <xf numFmtId="0" fontId="35" fillId="24" borderId="6" xfId="0" applyFont="1" applyFill="1" applyBorder="1" applyAlignment="1">
      <alignment horizontal="center" vertical="center"/>
    </xf>
    <xf numFmtId="0" fontId="36" fillId="24" borderId="6" xfId="0" applyFont="1" applyFill="1" applyBorder="1" applyAlignment="1">
      <alignment horizontal="left" vertical="center"/>
    </xf>
    <xf numFmtId="0" fontId="36" fillId="24" borderId="6" xfId="0" applyFont="1" applyFill="1" applyBorder="1" applyAlignment="1">
      <alignment horizontal="center" vertical="center"/>
    </xf>
    <xf numFmtId="0" fontId="35" fillId="20" borderId="6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left" vertical="center"/>
    </xf>
    <xf numFmtId="0" fontId="36" fillId="20" borderId="6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 wrapText="1"/>
    </xf>
    <xf numFmtId="0" fontId="38" fillId="17" borderId="6" xfId="0" applyFont="1" applyFill="1" applyBorder="1" applyAlignment="1">
      <alignment horizontal="center" vertical="center"/>
    </xf>
    <xf numFmtId="0" fontId="38" fillId="17" borderId="6" xfId="0" applyFont="1" applyFill="1" applyBorder="1" applyAlignment="1">
      <alignment horizontal="left" vertical="center"/>
    </xf>
    <xf numFmtId="0" fontId="39" fillId="17" borderId="6" xfId="0" applyFont="1" applyFill="1" applyBorder="1" applyAlignment="1">
      <alignment horizontal="center" vertical="center"/>
    </xf>
    <xf numFmtId="0" fontId="38" fillId="43" borderId="6" xfId="0" applyFont="1" applyFill="1" applyBorder="1" applyAlignment="1">
      <alignment horizontal="center" vertical="center"/>
    </xf>
    <xf numFmtId="0" fontId="38" fillId="43" borderId="6" xfId="0" applyFont="1" applyFill="1" applyBorder="1" applyAlignment="1">
      <alignment horizontal="left" vertical="center"/>
    </xf>
    <xf numFmtId="0" fontId="39" fillId="43" borderId="6" xfId="0" applyFont="1" applyFill="1" applyBorder="1" applyAlignment="1">
      <alignment horizontal="center" vertical="center"/>
    </xf>
    <xf numFmtId="0" fontId="21" fillId="27" borderId="6" xfId="0" applyFont="1" applyFill="1" applyBorder="1" applyAlignment="1">
      <alignment horizontal="center" vertical="center"/>
    </xf>
    <xf numFmtId="0" fontId="21" fillId="27" borderId="6" xfId="0" applyFont="1" applyFill="1" applyBorder="1" applyAlignment="1">
      <alignment horizontal="left" vertical="center"/>
    </xf>
    <xf numFmtId="164" fontId="21" fillId="27" borderId="6" xfId="0" applyNumberFormat="1" applyFont="1" applyFill="1" applyBorder="1" applyAlignment="1">
      <alignment horizontal="center" vertical="center"/>
    </xf>
    <xf numFmtId="9" fontId="21" fillId="27" borderId="6" xfId="0" applyNumberFormat="1" applyFont="1" applyFill="1" applyBorder="1" applyAlignment="1">
      <alignment horizontal="center" vertical="center"/>
    </xf>
    <xf numFmtId="165" fontId="21" fillId="27" borderId="6" xfId="0" applyNumberFormat="1" applyFont="1" applyFill="1" applyBorder="1" applyAlignment="1">
      <alignment horizontal="center" vertical="center"/>
    </xf>
    <xf numFmtId="0" fontId="21" fillId="28" borderId="6" xfId="0" applyFont="1" applyFill="1" applyBorder="1" applyAlignment="1">
      <alignment horizontal="center" vertical="center"/>
    </xf>
    <xf numFmtId="0" fontId="21" fillId="28" borderId="6" xfId="0" applyFont="1" applyFill="1" applyBorder="1" applyAlignment="1">
      <alignment horizontal="left" vertical="center"/>
    </xf>
    <xf numFmtId="164" fontId="21" fillId="28" borderId="6" xfId="0" applyNumberFormat="1" applyFont="1" applyFill="1" applyBorder="1" applyAlignment="1">
      <alignment horizontal="center" vertical="center"/>
    </xf>
    <xf numFmtId="9" fontId="21" fillId="28" borderId="6" xfId="0" applyNumberFormat="1" applyFont="1" applyFill="1" applyBorder="1" applyAlignment="1">
      <alignment horizontal="center" vertical="center"/>
    </xf>
    <xf numFmtId="165" fontId="21" fillId="28" borderId="6" xfId="0" applyNumberFormat="1" applyFont="1" applyFill="1" applyBorder="1" applyAlignment="1">
      <alignment horizontal="center" vertical="center"/>
    </xf>
    <xf numFmtId="0" fontId="21" fillId="29" borderId="6" xfId="0" applyFont="1" applyFill="1" applyBorder="1" applyAlignment="1">
      <alignment horizontal="center" vertical="center"/>
    </xf>
    <xf numFmtId="0" fontId="21" fillId="29" borderId="6" xfId="0" applyFont="1" applyFill="1" applyBorder="1" applyAlignment="1">
      <alignment horizontal="left" vertical="center"/>
    </xf>
    <xf numFmtId="164" fontId="21" fillId="29" borderId="6" xfId="0" applyNumberFormat="1" applyFont="1" applyFill="1" applyBorder="1" applyAlignment="1">
      <alignment horizontal="center" vertical="center"/>
    </xf>
    <xf numFmtId="9" fontId="21" fillId="29" borderId="6" xfId="0" applyNumberFormat="1" applyFont="1" applyFill="1" applyBorder="1" applyAlignment="1">
      <alignment horizontal="center" vertical="center"/>
    </xf>
    <xf numFmtId="165" fontId="21" fillId="29" borderId="6" xfId="0" applyNumberFormat="1" applyFont="1" applyFill="1" applyBorder="1" applyAlignment="1">
      <alignment horizontal="center" vertical="center"/>
    </xf>
    <xf numFmtId="0" fontId="0" fillId="32" borderId="6" xfId="0" applyFill="1" applyBorder="1"/>
    <xf numFmtId="0" fontId="0" fillId="43" borderId="4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43" borderId="6" xfId="0" applyFill="1" applyBorder="1" applyAlignment="1">
      <alignment horizontal="center" vertical="center"/>
    </xf>
    <xf numFmtId="0" fontId="0" fillId="21" borderId="6" xfId="0" applyFill="1" applyBorder="1"/>
    <xf numFmtId="0" fontId="0" fillId="33" borderId="6" xfId="0" applyFill="1" applyBorder="1"/>
    <xf numFmtId="0" fontId="0" fillId="41" borderId="6" xfId="0" applyFill="1" applyBorder="1"/>
    <xf numFmtId="0" fontId="21" fillId="17" borderId="6" xfId="0" applyFont="1" applyFill="1" applyBorder="1" applyAlignment="1">
      <alignment horizontal="center" vertical="center"/>
    </xf>
    <xf numFmtId="0" fontId="21" fillId="17" borderId="6" xfId="0" applyFont="1" applyFill="1" applyBorder="1" applyAlignment="1">
      <alignment horizontal="left" vertical="center"/>
    </xf>
    <xf numFmtId="0" fontId="21" fillId="17" borderId="6" xfId="0" applyFont="1" applyFill="1" applyBorder="1" applyAlignment="1">
      <alignment horizontal="left" vertical="center" wrapText="1"/>
    </xf>
    <xf numFmtId="165" fontId="21" fillId="17" borderId="6" xfId="0" applyNumberFormat="1" applyFont="1" applyFill="1" applyBorder="1" applyAlignment="1">
      <alignment horizontal="center" vertical="center"/>
    </xf>
    <xf numFmtId="9" fontId="21" fillId="17" borderId="6" xfId="0" applyNumberFormat="1" applyFont="1" applyFill="1" applyBorder="1" applyAlignment="1">
      <alignment horizontal="center" vertical="center"/>
    </xf>
    <xf numFmtId="0" fontId="21" fillId="43" borderId="6" xfId="0" applyFont="1" applyFill="1" applyBorder="1" applyAlignment="1">
      <alignment horizontal="center" vertical="center"/>
    </xf>
    <xf numFmtId="0" fontId="21" fillId="43" borderId="6" xfId="0" applyFont="1" applyFill="1" applyBorder="1" applyAlignment="1">
      <alignment horizontal="left" vertical="center"/>
    </xf>
    <xf numFmtId="0" fontId="21" fillId="43" borderId="6" xfId="0" applyFont="1" applyFill="1" applyBorder="1" applyAlignment="1">
      <alignment horizontal="left" vertical="center" wrapText="1"/>
    </xf>
    <xf numFmtId="165" fontId="21" fillId="43" borderId="6" xfId="0" applyNumberFormat="1" applyFont="1" applyFill="1" applyBorder="1" applyAlignment="1">
      <alignment horizontal="center" vertical="center"/>
    </xf>
    <xf numFmtId="9" fontId="21" fillId="43" borderId="6" xfId="0" applyNumberFormat="1" applyFont="1" applyFill="1" applyBorder="1" applyAlignment="1">
      <alignment horizontal="center" vertical="center"/>
    </xf>
    <xf numFmtId="165" fontId="20" fillId="16" borderId="6" xfId="0" applyNumberFormat="1" applyFont="1" applyFill="1" applyBorder="1" applyAlignment="1">
      <alignment horizontal="center" vertical="center"/>
    </xf>
    <xf numFmtId="9" fontId="20" fillId="16" borderId="6" xfId="0" applyNumberFormat="1" applyFont="1" applyFill="1" applyBorder="1" applyAlignment="1">
      <alignment horizontal="center" vertical="center"/>
    </xf>
    <xf numFmtId="0" fontId="20" fillId="27" borderId="6" xfId="0" applyFont="1" applyFill="1" applyBorder="1" applyAlignment="1">
      <alignment horizontal="left" vertical="center"/>
    </xf>
    <xf numFmtId="0" fontId="21" fillId="18" borderId="6" xfId="0" applyFont="1" applyFill="1" applyBorder="1" applyAlignment="1">
      <alignment horizontal="center" vertical="center"/>
    </xf>
    <xf numFmtId="167" fontId="21" fillId="27" borderId="6" xfId="0" applyNumberFormat="1" applyFont="1" applyFill="1" applyBorder="1" applyAlignment="1">
      <alignment horizontal="center" vertical="center"/>
    </xf>
    <xf numFmtId="0" fontId="26" fillId="27" borderId="6" xfId="0" applyFont="1" applyFill="1" applyBorder="1" applyAlignment="1">
      <alignment horizontal="left" vertical="center" wrapText="1"/>
    </xf>
    <xf numFmtId="0" fontId="21" fillId="19" borderId="6" xfId="0" applyFont="1" applyFill="1" applyBorder="1" applyAlignment="1">
      <alignment horizontal="center" vertical="center"/>
    </xf>
    <xf numFmtId="0" fontId="20" fillId="28" borderId="6" xfId="0" applyFont="1" applyFill="1" applyBorder="1" applyAlignment="1">
      <alignment horizontal="left" vertical="center"/>
    </xf>
    <xf numFmtId="167" fontId="21" fillId="28" borderId="6" xfId="0" applyNumberFormat="1" applyFont="1" applyFill="1" applyBorder="1" applyAlignment="1">
      <alignment horizontal="center" vertical="center"/>
    </xf>
    <xf numFmtId="0" fontId="26" fillId="28" borderId="6" xfId="0" applyFont="1" applyFill="1" applyBorder="1" applyAlignment="1">
      <alignment horizontal="left" vertical="center" wrapText="1"/>
    </xf>
    <xf numFmtId="0" fontId="21" fillId="24" borderId="6" xfId="0" applyFont="1" applyFill="1" applyBorder="1" applyAlignment="1">
      <alignment horizontal="center" vertical="center"/>
    </xf>
    <xf numFmtId="0" fontId="20" fillId="29" borderId="6" xfId="0" applyFont="1" applyFill="1" applyBorder="1" applyAlignment="1">
      <alignment horizontal="left" vertical="center"/>
    </xf>
    <xf numFmtId="167" fontId="21" fillId="29" borderId="6" xfId="0" applyNumberFormat="1" applyFont="1" applyFill="1" applyBorder="1" applyAlignment="1">
      <alignment horizontal="center" vertical="center"/>
    </xf>
    <xf numFmtId="0" fontId="26" fillId="29" borderId="6" xfId="0" applyFont="1" applyFill="1" applyBorder="1" applyAlignment="1">
      <alignment horizontal="left" vertical="center" wrapText="1"/>
    </xf>
    <xf numFmtId="0" fontId="21" fillId="20" borderId="6" xfId="0" applyFont="1" applyFill="1" applyBorder="1" applyAlignment="1">
      <alignment horizontal="center" vertical="center"/>
    </xf>
    <xf numFmtId="2" fontId="21" fillId="27" borderId="6" xfId="0" applyNumberFormat="1" applyFont="1" applyFill="1" applyBorder="1" applyAlignment="1">
      <alignment horizontal="center" vertical="center"/>
    </xf>
    <xf numFmtId="0" fontId="30" fillId="27" borderId="6" xfId="0" applyFont="1" applyFill="1" applyBorder="1" applyAlignment="1">
      <alignment horizontal="center" vertical="center"/>
    </xf>
    <xf numFmtId="0" fontId="29" fillId="27" borderId="6" xfId="0" applyFont="1" applyFill="1" applyBorder="1" applyAlignment="1">
      <alignment horizontal="left" vertical="center" wrapText="1"/>
    </xf>
    <xf numFmtId="0" fontId="30" fillId="27" borderId="6" xfId="0" applyFont="1" applyFill="1" applyBorder="1" applyAlignment="1">
      <alignment horizontal="left" vertical="center" wrapText="1"/>
    </xf>
    <xf numFmtId="167" fontId="30" fillId="27" borderId="6" xfId="0" applyNumberFormat="1" applyFont="1" applyFill="1" applyBorder="1" applyAlignment="1">
      <alignment horizontal="center" vertical="center"/>
    </xf>
    <xf numFmtId="0" fontId="34" fillId="28" borderId="6" xfId="0" applyFont="1" applyFill="1" applyBorder="1" applyAlignment="1">
      <alignment horizontal="center" vertical="center"/>
    </xf>
    <xf numFmtId="0" fontId="33" fillId="28" borderId="6" xfId="0" applyFont="1" applyFill="1" applyBorder="1" applyAlignment="1">
      <alignment horizontal="left" vertical="center" wrapText="1"/>
    </xf>
    <xf numFmtId="0" fontId="34" fillId="28" borderId="6" xfId="0" applyFont="1" applyFill="1" applyBorder="1" applyAlignment="1">
      <alignment horizontal="left" vertical="center" wrapText="1"/>
    </xf>
    <xf numFmtId="167" fontId="34" fillId="28" borderId="6" xfId="0" applyNumberFormat="1" applyFont="1" applyFill="1" applyBorder="1" applyAlignment="1">
      <alignment horizontal="center" vertical="center"/>
    </xf>
    <xf numFmtId="0" fontId="38" fillId="29" borderId="6" xfId="0" applyFont="1" applyFill="1" applyBorder="1" applyAlignment="1">
      <alignment horizontal="center" vertical="center"/>
    </xf>
    <xf numFmtId="0" fontId="55" fillId="29" borderId="6" xfId="0" applyFont="1" applyFill="1" applyBorder="1" applyAlignment="1">
      <alignment horizontal="left" vertical="center" wrapText="1"/>
    </xf>
    <xf numFmtId="0" fontId="38" fillId="29" borderId="6" xfId="0" applyFont="1" applyFill="1" applyBorder="1" applyAlignment="1">
      <alignment horizontal="left" vertical="center" wrapText="1"/>
    </xf>
    <xf numFmtId="167" fontId="38" fillId="29" borderId="6" xfId="0" applyNumberFormat="1" applyFont="1" applyFill="1" applyBorder="1" applyAlignment="1">
      <alignment horizontal="center" vertical="center"/>
    </xf>
    <xf numFmtId="0" fontId="36" fillId="29" borderId="6" xfId="0" applyFont="1" applyFill="1" applyBorder="1" applyAlignment="1">
      <alignment horizontal="center" vertical="center"/>
    </xf>
    <xf numFmtId="0" fontId="20" fillId="16" borderId="6" xfId="0" applyFont="1" applyFill="1" applyBorder="1"/>
    <xf numFmtId="0" fontId="0" fillId="0" borderId="6" xfId="0" applyBorder="1"/>
    <xf numFmtId="0" fontId="37" fillId="25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0" fillId="14" borderId="0" xfId="0" applyFill="1"/>
    <xf numFmtId="0" fontId="21" fillId="0" borderId="1" xfId="0" applyFont="1" applyBorder="1" applyAlignment="1">
      <alignment horizontal="left" vertical="center"/>
    </xf>
    <xf numFmtId="0" fontId="26" fillId="18" borderId="6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26" fillId="24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left" vertical="center"/>
    </xf>
    <xf numFmtId="0" fontId="40" fillId="26" borderId="0" xfId="0" applyFont="1" applyFill="1" applyAlignment="1">
      <alignment horizontal="center" vertical="center"/>
    </xf>
    <xf numFmtId="0" fontId="41" fillId="30" borderId="0" xfId="0" applyFont="1" applyFill="1" applyAlignment="1">
      <alignment horizontal="left" vertical="center"/>
    </xf>
    <xf numFmtId="0" fontId="28" fillId="32" borderId="5" xfId="0" applyFont="1" applyFill="1" applyBorder="1" applyAlignment="1">
      <alignment horizontal="center" vertical="center"/>
    </xf>
    <xf numFmtId="0" fontId="28" fillId="21" borderId="5" xfId="0" applyFont="1" applyFill="1" applyBorder="1" applyAlignment="1">
      <alignment horizontal="center" vertical="center"/>
    </xf>
    <xf numFmtId="0" fontId="28" fillId="33" borderId="5" xfId="0" applyFont="1" applyFill="1" applyBorder="1" applyAlignment="1">
      <alignment horizontal="center" vertical="center"/>
    </xf>
    <xf numFmtId="0" fontId="0" fillId="22" borderId="0" xfId="0" applyFill="1"/>
    <xf numFmtId="0" fontId="0" fillId="0" borderId="0" xfId="0"/>
    <xf numFmtId="0" fontId="45" fillId="34" borderId="8" xfId="0" applyFont="1" applyFill="1" applyBorder="1" applyAlignment="1">
      <alignment horizontal="center" vertical="center"/>
    </xf>
    <xf numFmtId="0" fontId="45" fillId="37" borderId="8" xfId="0" applyFont="1" applyFill="1" applyBorder="1" applyAlignment="1">
      <alignment horizontal="center" vertical="center"/>
    </xf>
    <xf numFmtId="0" fontId="45" fillId="39" borderId="8" xfId="0" applyFont="1" applyFill="1" applyBorder="1" applyAlignment="1">
      <alignment horizontal="center" vertical="center"/>
    </xf>
    <xf numFmtId="0" fontId="37" fillId="44" borderId="0" xfId="0" applyFont="1" applyFill="1" applyAlignment="1">
      <alignment horizontal="center" vertical="center"/>
    </xf>
    <xf numFmtId="0" fontId="20" fillId="16" borderId="1" xfId="0" applyFont="1" applyFill="1" applyBorder="1"/>
    <xf numFmtId="0" fontId="27" fillId="0" borderId="12" xfId="0" applyFont="1" applyBorder="1" applyAlignment="1">
      <alignment horizontal="center" vertical="center"/>
    </xf>
    <xf numFmtId="0" fontId="56" fillId="15" borderId="1" xfId="0" applyFont="1" applyFill="1" applyBorder="1" applyAlignment="1">
      <alignment horizontal="left" vertical="center" wrapText="1"/>
    </xf>
    <xf numFmtId="0" fontId="17" fillId="46" borderId="0" xfId="0" applyFont="1" applyFill="1" applyAlignment="1">
      <alignment horizontal="center" vertical="center"/>
    </xf>
    <xf numFmtId="0" fontId="57" fillId="12" borderId="14" xfId="0" applyFont="1" applyFill="1" applyBorder="1" applyAlignment="1">
      <alignment horizontal="center" vertical="center"/>
    </xf>
    <xf numFmtId="0" fontId="57" fillId="47" borderId="14" xfId="0" applyFont="1" applyFill="1" applyBorder="1" applyAlignment="1">
      <alignment horizontal="center" vertical="center"/>
    </xf>
    <xf numFmtId="0" fontId="57" fillId="48" borderId="14" xfId="0" applyFont="1" applyFill="1" applyBorder="1" applyAlignment="1">
      <alignment horizontal="center" vertical="center"/>
    </xf>
    <xf numFmtId="0" fontId="57" fillId="49" borderId="14" xfId="0" applyFont="1" applyFill="1" applyBorder="1" applyAlignment="1">
      <alignment horizontal="center" vertical="center"/>
    </xf>
    <xf numFmtId="0" fontId="59" fillId="0" borderId="14" xfId="0" applyFont="1" applyBorder="1" applyAlignment="1">
      <alignment horizontal="center"/>
    </xf>
    <xf numFmtId="0" fontId="27" fillId="0" borderId="0" xfId="1" applyAlignment="1">
      <alignment horizontal="center"/>
    </xf>
    <xf numFmtId="0" fontId="58" fillId="50" borderId="14" xfId="0" applyFont="1" applyFill="1" applyBorder="1" applyAlignment="1">
      <alignment horizontal="center" vertical="center"/>
    </xf>
    <xf numFmtId="0" fontId="57" fillId="4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10" borderId="0" xfId="0" applyFill="1"/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60" fillId="52" borderId="0" xfId="0" applyFont="1" applyFill="1" applyAlignment="1">
      <alignment horizontal="center" vertical="center"/>
    </xf>
    <xf numFmtId="0" fontId="61" fillId="51" borderId="0" xfId="0" applyFont="1" applyFill="1" applyAlignment="1">
      <alignment horizontal="left" vertical="center"/>
    </xf>
    <xf numFmtId="0" fontId="0" fillId="12" borderId="15" xfId="0" applyFill="1" applyBorder="1"/>
    <xf numFmtId="0" fontId="0" fillId="47" borderId="15" xfId="0" applyFill="1" applyBorder="1"/>
    <xf numFmtId="0" fontId="0" fillId="53" borderId="15" xfId="0" applyFill="1" applyBorder="1"/>
    <xf numFmtId="0" fontId="0" fillId="49" borderId="15" xfId="0" applyFill="1" applyBorder="1"/>
    <xf numFmtId="0" fontId="27" fillId="51" borderId="0" xfId="1" applyFill="1" applyAlignment="1">
      <alignment horizontal="center"/>
    </xf>
    <xf numFmtId="0" fontId="62" fillId="54" borderId="15" xfId="0" applyFont="1" applyFill="1" applyBorder="1" applyAlignment="1">
      <alignment horizontal="center" vertical="center"/>
    </xf>
    <xf numFmtId="0" fontId="63" fillId="54" borderId="15" xfId="0" applyFont="1" applyFill="1" applyBorder="1" applyAlignment="1">
      <alignment horizontal="center" vertical="center"/>
    </xf>
    <xf numFmtId="0" fontId="64" fillId="54" borderId="15" xfId="0" applyFont="1" applyFill="1" applyBorder="1" applyAlignment="1">
      <alignment horizontal="center" vertical="center"/>
    </xf>
    <xf numFmtId="0" fontId="65" fillId="54" borderId="15" xfId="0" applyFont="1" applyFill="1" applyBorder="1" applyAlignment="1">
      <alignment horizontal="center" vertical="center"/>
    </xf>
    <xf numFmtId="0" fontId="66" fillId="54" borderId="15" xfId="0" applyFont="1" applyFill="1" applyBorder="1" applyAlignment="1">
      <alignment horizontal="center" vertical="center"/>
    </xf>
    <xf numFmtId="0" fontId="67" fillId="54" borderId="0" xfId="0" applyFont="1" applyFill="1" applyAlignment="1">
      <alignment horizontal="center" vertical="center"/>
    </xf>
    <xf numFmtId="0" fontId="0" fillId="55" borderId="15" xfId="0" applyFill="1" applyBorder="1"/>
    <xf numFmtId="0" fontId="68" fillId="54" borderId="15" xfId="0" applyFont="1" applyFill="1" applyBorder="1" applyAlignment="1">
      <alignment horizontal="center" vertical="center"/>
    </xf>
    <xf numFmtId="0" fontId="69" fillId="54" borderId="15" xfId="0" applyFont="1" applyFill="1" applyBorder="1" applyAlignment="1">
      <alignment horizontal="center" vertical="center"/>
    </xf>
    <xf numFmtId="0" fontId="70" fillId="54" borderId="15" xfId="0" applyFont="1" applyFill="1" applyBorder="1" applyAlignment="1">
      <alignment horizontal="center" vertical="center"/>
    </xf>
    <xf numFmtId="0" fontId="71" fillId="54" borderId="15" xfId="0" applyFont="1" applyFill="1" applyBorder="1" applyAlignment="1">
      <alignment horizontal="center" vertical="center"/>
    </xf>
    <xf numFmtId="0" fontId="67" fillId="54" borderId="15" xfId="0" applyFont="1" applyFill="1" applyBorder="1" applyAlignment="1">
      <alignment horizontal="center" vertical="center"/>
    </xf>
    <xf numFmtId="0" fontId="72" fillId="54" borderId="15" xfId="0" applyFont="1" applyFill="1" applyBorder="1" applyAlignment="1">
      <alignment horizontal="center" vertical="center"/>
    </xf>
    <xf numFmtId="0" fontId="44" fillId="56" borderId="0" xfId="0" applyFont="1" applyFill="1" applyAlignment="1">
      <alignment horizontal="center" vertical="center"/>
    </xf>
    <xf numFmtId="0" fontId="73" fillId="54" borderId="15" xfId="0" applyFont="1" applyFill="1" applyBorder="1" applyAlignment="1">
      <alignment horizontal="left" vertical="center"/>
    </xf>
    <xf numFmtId="0" fontId="74" fillId="54" borderId="15" xfId="0" applyFont="1" applyFill="1" applyBorder="1" applyAlignment="1">
      <alignment horizontal="center" vertical="center"/>
    </xf>
    <xf numFmtId="0" fontId="75" fillId="54" borderId="15" xfId="0" applyFont="1" applyFill="1" applyBorder="1" applyAlignment="1">
      <alignment horizontal="center" vertical="center"/>
    </xf>
    <xf numFmtId="0" fontId="76" fillId="54" borderId="15" xfId="0" applyFont="1" applyFill="1" applyBorder="1" applyAlignment="1">
      <alignment horizontal="center" vertical="center"/>
    </xf>
    <xf numFmtId="0" fontId="77" fillId="54" borderId="15" xfId="0" applyFont="1" applyFill="1" applyBorder="1" applyAlignment="1">
      <alignment horizontal="left" vertical="center"/>
    </xf>
    <xf numFmtId="0" fontId="79" fillId="54" borderId="15" xfId="0" applyFont="1" applyFill="1" applyBorder="1" applyAlignment="1">
      <alignment horizontal="center" vertical="center"/>
    </xf>
    <xf numFmtId="0" fontId="78" fillId="54" borderId="15" xfId="0" applyFont="1" applyFill="1" applyBorder="1" applyAlignment="1">
      <alignment horizontal="center" vertical="center"/>
    </xf>
    <xf numFmtId="0" fontId="80" fillId="54" borderId="15" xfId="0" applyFont="1" applyFill="1" applyBorder="1" applyAlignment="1">
      <alignment horizontal="center" vertical="center"/>
    </xf>
    <xf numFmtId="0" fontId="81" fillId="54" borderId="15" xfId="0" applyFont="1" applyFill="1" applyBorder="1" applyAlignment="1">
      <alignment horizontal="center" vertical="center"/>
    </xf>
    <xf numFmtId="0" fontId="67" fillId="51" borderId="0" xfId="0" applyFont="1" applyFill="1" applyAlignment="1">
      <alignment horizontal="center" vertical="center"/>
    </xf>
    <xf numFmtId="0" fontId="82" fillId="54" borderId="15" xfId="0" applyFont="1" applyFill="1" applyBorder="1" applyAlignment="1">
      <alignment horizontal="center" vertical="center"/>
    </xf>
    <xf numFmtId="0" fontId="83" fillId="54" borderId="15" xfId="0" applyFont="1" applyFill="1" applyBorder="1" applyAlignment="1">
      <alignment horizontal="center" vertical="center"/>
    </xf>
    <xf numFmtId="0" fontId="0" fillId="57" borderId="0" xfId="0" applyFill="1"/>
    <xf numFmtId="0" fontId="85" fillId="57" borderId="0" xfId="0" applyFont="1" applyFill="1" applyAlignment="1">
      <alignment horizontal="center"/>
    </xf>
    <xf numFmtId="0" fontId="0" fillId="57" borderId="0" xfId="0" applyFill="1" applyAlignment="1">
      <alignment horizontal="center"/>
    </xf>
    <xf numFmtId="0" fontId="86" fillId="57" borderId="0" xfId="0" applyFont="1" applyFill="1" applyAlignment="1">
      <alignment horizontal="center" wrapText="1"/>
    </xf>
    <xf numFmtId="0" fontId="87" fillId="12" borderId="0" xfId="0" applyFont="1" applyFill="1" applyAlignment="1">
      <alignment horizontal="center" vertical="center"/>
    </xf>
    <xf numFmtId="0" fontId="84" fillId="57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A0F0F"/>
      <rgbColor rgb="FFD7DBDF"/>
      <rgbColor rgb="FF0000FF"/>
      <rgbColor rgb="FFFADBD8"/>
      <rgbColor rgb="FFD6DCE4"/>
      <rgbColor rgb="FFD6E8F7"/>
      <rgbColor rgb="FFF3F4F6"/>
      <rgbColor rgb="FF1A9735"/>
      <rgbColor rgb="FF0D1B2A"/>
      <rgbColor rgb="FFDB7706"/>
      <rgbColor rgb="FFEBF5FB"/>
      <rgbColor rgb="FF2980B9"/>
      <rgbColor rgb="FFBDC3C7"/>
      <rgbColor rgb="FFFE893C"/>
      <rgbColor rgb="FFAAB7B8"/>
      <rgbColor rgb="FFC43814"/>
      <rgbColor rgb="FFFEFAE7"/>
      <rgbColor rgb="FFD5F0DE"/>
      <rgbColor rgb="FF1C293C"/>
      <rgbColor rgb="FFFF6B6B"/>
      <rgbColor rgb="FF1677BD"/>
      <rgbColor rgb="FFD1D5DB"/>
      <rgbColor rgb="FF172137"/>
      <rgbColor rgb="FFEFF2F6"/>
      <rgbColor rgb="FFEAECF0"/>
      <rgbColor rgb="FFD6E4F0"/>
      <rgbColor rgb="FFF0F4FA"/>
      <rgbColor rgb="FFF5F5F5"/>
      <rgbColor rgb="FF3A86FF"/>
      <rgbColor rgb="FFF8F9FA"/>
      <rgbColor rgb="FF00C5A0"/>
      <rgbColor rgb="FFEAFAF1"/>
      <rgbColor rgb="FFD5F5E3"/>
      <rgbColor rgb="FFFDE8D1"/>
      <rgbColor rgb="FFA9DFBF"/>
      <rgbColor rgb="FFFAD7D5"/>
      <rgbColor rgb="FFC77DFF"/>
      <rgbColor rgb="FFFAD7A0"/>
      <rgbColor rgb="FF2563EB"/>
      <rgbColor rgb="FF2ECC71"/>
      <rgbColor rgb="FFCCCCCC"/>
      <rgbColor rgb="FFFFD93D"/>
      <rgbColor rgb="FFF39C12"/>
      <rgbColor rgb="FFDB6D0A"/>
      <rgbColor rgb="FF5E5AD1"/>
      <rgbColor rgb="FF8DA17B"/>
      <rgbColor rgb="FF1E4070"/>
      <rgbColor rgb="FF16A34A"/>
      <rgbColor rgb="FF1A2530"/>
      <rgbColor rgb="FF1E2938"/>
      <rgbColor rgb="FF8F3C07"/>
      <rgbColor rgb="FF2E3F4F"/>
      <rgbColor rgb="FF2C3E6B"/>
      <rgbColor rgb="FF2635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Team Utilisation % by Resource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'Resource Planner'!$H$14</c:f>
              <c:strCache>
                <c:ptCount val="1"/>
                <c:pt idx="0">
                  <c:v>Util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'Resource Planner'!$A$15:$A$21</c:f>
              <c:strCache>
                <c:ptCount val="7"/>
                <c:pt idx="0">
                  <c:v>Priya Sharma</c:v>
                </c:pt>
                <c:pt idx="1">
                  <c:v>Rahul Mehta</c:v>
                </c:pt>
                <c:pt idx="2">
                  <c:v>Amit Roy</c:v>
                </c:pt>
                <c:pt idx="3">
                  <c:v>Sunita Verma</c:v>
                </c:pt>
                <c:pt idx="4">
                  <c:v>Karan Malhotra</c:v>
                </c:pt>
                <c:pt idx="5">
                  <c:v>Deepa Krishnan</c:v>
                </c:pt>
                <c:pt idx="6">
                  <c:v>Neha Joshi</c:v>
                </c:pt>
              </c:strCache>
            </c:strRef>
          </c:cat>
          <c:val>
            <c:numRef>
              <c:f>'Resource Planner'!$H$15:$H$21</c:f>
              <c:numCache>
                <c:formatCode>0%</c:formatCode>
                <c:ptCount val="7"/>
                <c:pt idx="0">
                  <c:v>1</c:v>
                </c:pt>
                <c:pt idx="1">
                  <c:v>0.83333333333333337</c:v>
                </c:pt>
                <c:pt idx="2">
                  <c:v>0.95238095238095233</c:v>
                </c:pt>
                <c:pt idx="3">
                  <c:v>0.7142857142857143</c:v>
                </c:pt>
                <c:pt idx="4">
                  <c:v>0.47619047619047616</c:v>
                </c:pt>
                <c:pt idx="5">
                  <c:v>0.47619047619047616</c:v>
                </c:pt>
                <c:pt idx="6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D-4947-8F6A-1ACE1277D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3476"/>
        <c:axId val="27870492"/>
      </c:barChart>
      <c:catAx>
        <c:axId val="9003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70492"/>
        <c:crosses val="autoZero"/>
        <c:auto val="1"/>
        <c:lblAlgn val="ctr"/>
        <c:lblOffset val="100"/>
        <c:noMultiLvlLbl val="0"/>
      </c:catAx>
      <c:valAx>
        <c:axId val="27870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Utilisation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3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74698495586203E-2"/>
          <c:y val="2.56503547389485E-2"/>
          <c:w val="0.63862986447842796"/>
          <c:h val="0.858104420593051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'Task Tracker'!$G$17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739-4B82-BD28-0016570F8DA2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739-4B82-BD28-0016570F8DA2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739-4B82-BD28-0016570F8DA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39-4B82-BD28-0016570F8DA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39-4B82-BD28-0016570F8DA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39-4B82-BD28-0016570F8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'Task Tracker'!$F$18:$F$20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'Task Tracker'!$G$18:$G$20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39-4B82-BD28-0016570F8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52986"/>
        <c:axId val="77590037"/>
      </c:barChart>
      <c:catAx>
        <c:axId val="36952986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layout>
            <c:manualLayout>
              <c:xMode val="edge"/>
              <c:yMode val="edge"/>
              <c:x val="0.40563222678105199"/>
              <c:y val="0.9024922685100970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7590037"/>
        <c:crosses val="autoZero"/>
        <c:auto val="1"/>
        <c:lblAlgn val="ctr"/>
        <c:lblOffset val="100"/>
        <c:noMultiLvlLbl val="0"/>
      </c:catAx>
      <c:valAx>
        <c:axId val="77590037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6952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Checklist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54226644769"/>
          <c:y val="0.13707916810295301"/>
          <c:w val="0.64747367404115497"/>
          <c:h val="0.81833850396414998"/>
        </c:manualLayout>
      </c:layout>
      <c:pieChart>
        <c:varyColors val="1"/>
        <c:ser>
          <c:idx val="0"/>
          <c:order val="0"/>
          <c:tx>
            <c:strRef>
              <c:f>Checklist!$B$17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15"/>
          <c:dPt>
            <c:idx val="0"/>
            <c:bubble3D val="0"/>
            <c:explosion val="1"/>
            <c:spPr>
              <a:solidFill>
                <a:srgbClr val="A9DFB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7D0-4BD2-8988-69CD8C59E7B8}"/>
              </c:ext>
            </c:extLst>
          </c:dPt>
          <c:dPt>
            <c:idx val="1"/>
            <c:bubble3D val="0"/>
            <c:spPr>
              <a:solidFill>
                <a:srgbClr val="FAD7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7D0-4BD2-8988-69CD8C59E7B8}"/>
              </c:ext>
            </c:extLst>
          </c:dPt>
          <c:dPt>
            <c:idx val="2"/>
            <c:bubble3D val="0"/>
            <c:spPr>
              <a:solidFill>
                <a:srgbClr val="D6DBD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7D0-4BD2-8988-69CD8C59E7B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D0-4BD2-8988-69CD8C59E7B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D0-4BD2-8988-69CD8C59E7B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D0-4BD2-8988-69CD8C59E7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Checklist!$A$18:$A$20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Checklist!$B$18:$B$20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D0-4BD2-8988-69CD8C59E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Project Status Overview</a:t>
            </a:r>
          </a:p>
        </c:rich>
      </c:tx>
      <c:layout>
        <c:manualLayout>
          <c:xMode val="edge"/>
          <c:yMode val="edge"/>
          <c:x val="0.428027978893116"/>
          <c:y val="5.732165206508139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8041477481899601E-2"/>
          <c:y val="9.6996245306633297E-2"/>
          <c:w val="0.76782427291692201"/>
          <c:h val="0.9028785982478100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 Dashboard'!$B$20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F57-42AF-8252-6FADB57D90D6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F57-42AF-8252-6FADB57D90D6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F57-42AF-8252-6FADB57D90D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57-42AF-8252-6FADB57D90D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57-42AF-8252-6FADB57D90D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57-42AF-8252-6FADB57D90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Dashboard'!$A$21:$A$23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' Dashboard'!$B$21:$B$23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57-42AF-8252-6FADB57D9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47444"/>
        <c:axId val="3856261"/>
      </c:barChart>
      <c:catAx>
        <c:axId val="105474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56261"/>
        <c:crosses val="autoZero"/>
        <c:auto val="1"/>
        <c:lblAlgn val="ctr"/>
        <c:lblOffset val="100"/>
        <c:noMultiLvlLbl val="0"/>
      </c:catAx>
      <c:valAx>
        <c:axId val="3856261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0547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Dashboard_1!$AA$1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00C5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B84-4D00-BE88-9F889DCE07C7}"/>
              </c:ext>
            </c:extLst>
          </c:dPt>
          <c:dPt>
            <c:idx val="1"/>
            <c:bubble3D val="0"/>
            <c:spPr>
              <a:solidFill>
                <a:srgbClr val="FF6B6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B84-4D00-BE88-9F889DCE07C7}"/>
              </c:ext>
            </c:extLst>
          </c:dPt>
          <c:dPt>
            <c:idx val="2"/>
            <c:bubble3D val="0"/>
            <c:spPr>
              <a:solidFill>
                <a:srgbClr val="FFD93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B84-4D00-BE88-9F889DCE07C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84-4D00-BE88-9F889DCE07C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84-4D00-BE88-9F889DCE07C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84-4D00-BE88-9F889DCE0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Dashboard_1!$Z$2:$Z$4</c:f>
              <c:strCache>
                <c:ptCount val="3"/>
                <c:pt idx="0">
                  <c:v>In Progress</c:v>
                </c:pt>
                <c:pt idx="1">
                  <c:v>Not Started</c:v>
                </c:pt>
                <c:pt idx="2">
                  <c:v>Completed</c:v>
                </c:pt>
              </c:strCache>
            </c:strRef>
          </c:cat>
          <c:val>
            <c:numRef>
              <c:f>Dashboard_1!$AA$2:$AA$4</c:f>
              <c:numCache>
                <c:formatCode>General</c:formatCode>
                <c:ptCount val="3"/>
                <c:pt idx="0">
                  <c:v>97</c:v>
                </c:pt>
                <c:pt idx="1">
                  <c:v>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84-4D00-BE88-9F889DCE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Projected Revenue by Phase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Dashboard_1!$AC$1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A86FF"/>
            </a:solidFill>
            <a:ln w="9360">
              <a:solidFill>
                <a:srgbClr val="3A86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Dashboard_1!$AB$2:$AB$5</c:f>
              <c:strCache>
                <c:ptCount val="4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</c:strCache>
            </c:strRef>
          </c:cat>
          <c:val>
            <c:numRef>
              <c:f>Dashboard_1!$AC$2:$AC$5</c:f>
              <c:numCache>
                <c:formatCode>General</c:formatCode>
                <c:ptCount val="4"/>
                <c:pt idx="0">
                  <c:v>1944500</c:v>
                </c:pt>
                <c:pt idx="1">
                  <c:v>1624100</c:v>
                </c:pt>
                <c:pt idx="2">
                  <c:v>1622400</c:v>
                </c:pt>
                <c:pt idx="3">
                  <c:v>1525000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F-4CB4-9DA8-B95ECAF5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08493"/>
        <c:axId val="43179685"/>
      </c:barChart>
      <c:catAx>
        <c:axId val="64908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79685"/>
        <c:crosses val="autoZero"/>
        <c:auto val="1"/>
        <c:lblAlgn val="ctr"/>
        <c:lblOffset val="100"/>
        <c:noMultiLvlLbl val="0"/>
      </c:catAx>
      <c:valAx>
        <c:axId val="431796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908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Dashboard_1!$AE$1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C77DFF"/>
            </a:solidFill>
            <a:ln w="9360">
              <a:solidFill>
                <a:srgbClr val="C77D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Dashboard_1!$AD$2:$AD$6</c:f>
              <c:strCache>
                <c:ptCount val="5"/>
                <c:pt idx="0">
                  <c:v>Quality Assur.</c:v>
                </c:pt>
                <c:pt idx="1">
                  <c:v>PMO</c:v>
                </c:pt>
                <c:pt idx="2">
                  <c:v>BI &amp; Analytics</c:v>
                </c:pt>
                <c:pt idx="3">
                  <c:v>Business Intel.</c:v>
                </c:pt>
                <c:pt idx="4">
                  <c:v>Data Platform</c:v>
                </c:pt>
              </c:strCache>
            </c:strRef>
          </c:cat>
          <c:val>
            <c:numRef>
              <c:f>Dashboard_1!$AE$2:$AE$6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B-42DF-AB1A-4CE20A9EC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690209"/>
        <c:axId val="66974184"/>
      </c:barChart>
      <c:catAx>
        <c:axId val="6969020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74184"/>
        <c:crosses val="autoZero"/>
        <c:auto val="1"/>
        <c:lblAlgn val="ctr"/>
        <c:lblOffset val="100"/>
        <c:noMultiLvlLbl val="0"/>
      </c:catAx>
      <c:valAx>
        <c:axId val="669741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902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Priority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Dashboard_1!$AG$1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FF6B6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705-4026-89D1-0B01E9963849}"/>
              </c:ext>
            </c:extLst>
          </c:dPt>
          <c:dPt>
            <c:idx val="1"/>
            <c:bubble3D val="0"/>
            <c:spPr>
              <a:solidFill>
                <a:srgbClr val="3A86F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705-4026-89D1-0B01E9963849}"/>
              </c:ext>
            </c:extLst>
          </c:dPt>
          <c:dPt>
            <c:idx val="2"/>
            <c:bubble3D val="0"/>
            <c:spPr>
              <a:solidFill>
                <a:srgbClr val="FFD93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705-4026-89D1-0B01E9963849}"/>
              </c:ext>
            </c:extLst>
          </c:dPt>
          <c:dPt>
            <c:idx val="3"/>
            <c:bubble3D val="0"/>
            <c:spPr>
              <a:solidFill>
                <a:srgbClr val="00C5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705-4026-89D1-0B01E996384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5-4026-89D1-0B01E996384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5-4026-89D1-0B01E996384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5-4026-89D1-0B01E996384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5-4026-89D1-0B01E99638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Dashboard_1!$AF$2:$AF$5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Dashboard_1!$AG$2:$AG$5</c:f>
              <c:numCache>
                <c:formatCode>General</c:formatCode>
                <c:ptCount val="4"/>
                <c:pt idx="0">
                  <c:v>38</c:v>
                </c:pt>
                <c:pt idx="1">
                  <c:v>29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05-4026-89D1-0B01E9963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Completion % by Team Member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Dashboard_1!$AI$1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FF8C42"/>
            </a:solidFill>
            <a:ln w="9360">
              <a:solidFill>
                <a:srgbClr val="FF8C4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Dashboard_1!$AH$2:$AH$9</c:f>
              <c:strCache>
                <c:ptCount val="8"/>
                <c:pt idx="0">
                  <c:v>Priya Sharma</c:v>
                </c:pt>
                <c:pt idx="1">
                  <c:v>Ananya Singh</c:v>
                </c:pt>
                <c:pt idx="2">
                  <c:v>Neha Joshi</c:v>
                </c:pt>
                <c:pt idx="3">
                  <c:v>Arjun Pillai</c:v>
                </c:pt>
                <c:pt idx="4">
                  <c:v>Sunita Verma</c:v>
                </c:pt>
                <c:pt idx="5">
                  <c:v>Pooja Iyer</c:v>
                </c:pt>
                <c:pt idx="6">
                  <c:v>Karan Malhotra</c:v>
                </c:pt>
                <c:pt idx="7">
                  <c:v>Lakshmi Nair</c:v>
                </c:pt>
              </c:strCache>
            </c:strRef>
          </c:cat>
          <c:val>
            <c:numRef>
              <c:f>Dashboard_1!$AI$2:$AI$9</c:f>
              <c:numCache>
                <c:formatCode>General</c:formatCode>
                <c:ptCount val="8"/>
                <c:pt idx="0">
                  <c:v>68</c:v>
                </c:pt>
                <c:pt idx="1">
                  <c:v>61.4</c:v>
                </c:pt>
                <c:pt idx="2">
                  <c:v>56.1</c:v>
                </c:pt>
                <c:pt idx="3">
                  <c:v>55.6</c:v>
                </c:pt>
                <c:pt idx="4">
                  <c:v>55.5</c:v>
                </c:pt>
                <c:pt idx="5">
                  <c:v>54.4</c:v>
                </c:pt>
                <c:pt idx="6">
                  <c:v>52.1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F-4106-9A04-B082BC727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53057"/>
        <c:axId val="45204185"/>
      </c:barChart>
      <c:catAx>
        <c:axId val="42653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04185"/>
        <c:crosses val="autoZero"/>
        <c:auto val="1"/>
        <c:lblAlgn val="ctr"/>
        <c:lblOffset val="100"/>
        <c:noMultiLvlLbl val="0"/>
      </c:catAx>
      <c:valAx>
        <c:axId val="452041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53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Project Overview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Project Overview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Project Overview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Project Overview'!A1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Project Overview'!A1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1.jp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hyperlink" Target="#'Project Overview'!A1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Project Overview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85725</xdr:colOff>
      <xdr:row>0</xdr:row>
      <xdr:rowOff>219075</xdr:rowOff>
    </xdr:from>
    <xdr:to>
      <xdr:col>17</xdr:col>
      <xdr:colOff>295275</xdr:colOff>
      <xdr:row>2</xdr:row>
      <xdr:rowOff>161925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9ADD2-3407-4DE1-A582-1DECC6CF247B}"/>
            </a:ext>
            <a:ext uri="{147F2762-F138-4A5C-976F-8EAC2B608ADB}">
              <a16:predDERef xmlns:a16="http://schemas.microsoft.com/office/drawing/2014/main" pred="{00000000-0008-0000-0600-000006000000}"/>
            </a:ext>
          </a:extLst>
        </xdr:cNvPr>
        <xdr:cNvSpPr/>
      </xdr:nvSpPr>
      <xdr:spPr>
        <a:xfrm>
          <a:off x="15963900" y="219075"/>
          <a:ext cx="1371600" cy="4572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1990725</xdr:colOff>
      <xdr:row>0</xdr:row>
      <xdr:rowOff>66675</xdr:rowOff>
    </xdr:from>
    <xdr:to>
      <xdr:col>16</xdr:col>
      <xdr:colOff>1362075</xdr:colOff>
      <xdr:row>2</xdr:row>
      <xdr:rowOff>9525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7B5947-C193-414A-B804-5B1F58C74716}"/>
            </a:ext>
            <a:ext uri="{147F2762-F138-4A5C-976F-8EAC2B608ADB}">
              <a16:predDERef xmlns:a16="http://schemas.microsoft.com/office/drawing/2014/main" pred="{00000000-0008-0000-0600-000006000000}"/>
            </a:ext>
          </a:extLst>
        </xdr:cNvPr>
        <xdr:cNvSpPr/>
      </xdr:nvSpPr>
      <xdr:spPr>
        <a:xfrm>
          <a:off x="16964025" y="66675"/>
          <a:ext cx="1371600" cy="4572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1047750</xdr:colOff>
      <xdr:row>0</xdr:row>
      <xdr:rowOff>0</xdr:rowOff>
    </xdr:from>
    <xdr:to>
      <xdr:col>14</xdr:col>
      <xdr:colOff>161925</xdr:colOff>
      <xdr:row>1</xdr:row>
      <xdr:rowOff>171450</xdr:rowOff>
    </xdr:to>
    <xdr:sp macro="" textlink="">
      <xdr:nvSpPr>
        <xdr:cNvPr id="3" name="Left Arrow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071AF8-6910-4BE9-9EDC-C1D5F1B7110D}"/>
            </a:ext>
            <a:ext uri="{147F2762-F138-4A5C-976F-8EAC2B608ADB}">
              <a16:predDERef xmlns:a16="http://schemas.microsoft.com/office/drawing/2014/main" pred="{00000000-0008-0000-0600-000006000000}"/>
            </a:ext>
          </a:extLst>
        </xdr:cNvPr>
        <xdr:cNvSpPr/>
      </xdr:nvSpPr>
      <xdr:spPr>
        <a:xfrm>
          <a:off x="11029950" y="0"/>
          <a:ext cx="1790700" cy="5715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743040</xdr:colOff>
      <xdr:row>21</xdr:row>
      <xdr:rowOff>76320</xdr:rowOff>
    </xdr:from>
    <xdr:to>
      <xdr:col>13</xdr:col>
      <xdr:colOff>122400</xdr:colOff>
      <xdr:row>44</xdr:row>
      <xdr:rowOff>12240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66675</xdr:colOff>
      <xdr:row>0</xdr:row>
      <xdr:rowOff>219075</xdr:rowOff>
    </xdr:from>
    <xdr:to>
      <xdr:col>14</xdr:col>
      <xdr:colOff>781050</xdr:colOff>
      <xdr:row>2</xdr:row>
      <xdr:rowOff>95250</xdr:rowOff>
    </xdr:to>
    <xdr:sp macro="" textlink="">
      <xdr:nvSpPr>
        <xdr:cNvPr id="2" name="Left Arrow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D857D9-0C05-4DD5-A3B3-09B0EB0A10CA}"/>
            </a:ext>
            <a:ext uri="{147F2762-F138-4A5C-976F-8EAC2B608ADB}">
              <a16:predDERef xmlns:a16="http://schemas.microsoft.com/office/drawing/2014/main" pred="{00000000-0008-0000-0500-000005000000}"/>
            </a:ext>
          </a:extLst>
        </xdr:cNvPr>
        <xdr:cNvSpPr/>
      </xdr:nvSpPr>
      <xdr:spPr>
        <a:xfrm>
          <a:off x="12534900" y="219075"/>
          <a:ext cx="1647825" cy="4572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314280</xdr:colOff>
      <xdr:row>15</xdr:row>
      <xdr:rowOff>104760</xdr:rowOff>
    </xdr:from>
    <xdr:to>
      <xdr:col>11</xdr:col>
      <xdr:colOff>113760</xdr:colOff>
      <xdr:row>25</xdr:row>
      <xdr:rowOff>178200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400050</xdr:colOff>
      <xdr:row>0</xdr:row>
      <xdr:rowOff>57150</xdr:rowOff>
    </xdr:from>
    <xdr:to>
      <xdr:col>13</xdr:col>
      <xdr:colOff>838200</xdr:colOff>
      <xdr:row>2</xdr:row>
      <xdr:rowOff>0</xdr:rowOff>
    </xdr:to>
    <xdr:sp macro="" textlink="">
      <xdr:nvSpPr>
        <xdr:cNvPr id="2" name="Left Arrow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46AD8F-731E-4F30-9634-2F35ECE003E8}"/>
            </a:ext>
            <a:ext uri="{147F2762-F138-4A5C-976F-8EAC2B608ADB}">
              <a16:predDERef xmlns:a16="http://schemas.microsoft.com/office/drawing/2014/main" pred="{00000000-0008-0000-0600-000006000000}"/>
            </a:ext>
          </a:extLst>
        </xdr:cNvPr>
        <xdr:cNvSpPr/>
      </xdr:nvSpPr>
      <xdr:spPr>
        <a:xfrm>
          <a:off x="16487775" y="57150"/>
          <a:ext cx="1371600" cy="4572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190440</xdr:colOff>
      <xdr:row>13</xdr:row>
      <xdr:rowOff>152280</xdr:rowOff>
    </xdr:from>
    <xdr:to>
      <xdr:col>8</xdr:col>
      <xdr:colOff>70920</xdr:colOff>
      <xdr:row>31</xdr:row>
      <xdr:rowOff>122400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666720</xdr:colOff>
      <xdr:row>11</xdr:row>
      <xdr:rowOff>66600</xdr:rowOff>
    </xdr:from>
    <xdr:to>
      <xdr:col>7</xdr:col>
      <xdr:colOff>190080</xdr:colOff>
      <xdr:row>26</xdr:row>
      <xdr:rowOff>84960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180975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12</xdr:col>
      <xdr:colOff>371475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6</xdr:col>
      <xdr:colOff>123825</xdr:colOff>
      <xdr:row>49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12</xdr:col>
      <xdr:colOff>114300</xdr:colOff>
      <xdr:row>49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19</xdr:row>
      <xdr:rowOff>161925</xdr:rowOff>
    </xdr:from>
    <xdr:to>
      <xdr:col>27</xdr:col>
      <xdr:colOff>228600</xdr:colOff>
      <xdr:row>49</xdr:row>
      <xdr:rowOff>219075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304800</xdr:colOff>
      <xdr:row>6</xdr:row>
      <xdr:rowOff>152400</xdr:rowOff>
    </xdr:from>
    <xdr:to>
      <xdr:col>30</xdr:col>
      <xdr:colOff>285750</xdr:colOff>
      <xdr:row>17</xdr:row>
      <xdr:rowOff>38100</xdr:rowOff>
    </xdr:to>
    <xdr:sp macro="" textlink="">
      <xdr:nvSpPr>
        <xdr:cNvPr id="7" name="Left Arrow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88250E-EE66-B32B-926B-BD377019CDBE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24203025" y="1981200"/>
          <a:ext cx="2590800" cy="18192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24</xdr:col>
      <xdr:colOff>190500</xdr:colOff>
      <xdr:row>69</xdr:row>
      <xdr:rowOff>31751</xdr:rowOff>
    </xdr:from>
    <xdr:to>
      <xdr:col>31</xdr:col>
      <xdr:colOff>35575</xdr:colOff>
      <xdr:row>79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912810-1650-259C-7347-3690EA018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8250" y="15367001"/>
          <a:ext cx="4131325" cy="2222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4</xdr:row>
      <xdr:rowOff>371475</xdr:rowOff>
    </xdr:from>
    <xdr:to>
      <xdr:col>12</xdr:col>
      <xdr:colOff>400050</xdr:colOff>
      <xdr:row>8</xdr:row>
      <xdr:rowOff>104775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83124-9DA6-43E8-861F-DD788F4B97A7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5705475" y="1190625"/>
          <a:ext cx="1238250" cy="733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Project_Management_Complete_v2.xlsx" TargetMode="External"/><Relationship Id="rId2" Type="http://schemas.openxmlformats.org/officeDocument/2006/relationships/hyperlink" Target="Project_Management_Complete_v2.xlsx" TargetMode="External"/><Relationship Id="rId1" Type="http://schemas.openxmlformats.org/officeDocument/2006/relationships/hyperlink" Target="Project_Management_Complete_v2.xlsx" TargetMode="External"/><Relationship Id="rId6" Type="http://schemas.openxmlformats.org/officeDocument/2006/relationships/hyperlink" Target="Project_Management_Complete_v2.xlsx" TargetMode="External"/><Relationship Id="rId5" Type="http://schemas.openxmlformats.org/officeDocument/2006/relationships/hyperlink" Target="Project_Management_Complete_v2.xlsx" TargetMode="External"/><Relationship Id="rId4" Type="http://schemas.openxmlformats.org/officeDocument/2006/relationships/hyperlink" Target="Project_Management_Complete_v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27EA-9FD1-4C72-ADCC-767CFF3CCEBC}">
  <dimension ref="A1:M18"/>
  <sheetViews>
    <sheetView tabSelected="1" workbookViewId="0">
      <selection activeCell="O21" sqref="O21"/>
    </sheetView>
  </sheetViews>
  <sheetFormatPr defaultRowHeight="15" x14ac:dyDescent="0.25"/>
  <sheetData>
    <row r="1" spans="1:13" x14ac:dyDescent="0.25">
      <c r="A1" s="266" t="s">
        <v>561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</row>
    <row r="2" spans="1:13" x14ac:dyDescent="0.25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3" x14ac:dyDescent="0.25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</row>
    <row r="4" spans="1:13" x14ac:dyDescent="0.25">
      <c r="A4" s="267"/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</row>
    <row r="5" spans="1:13" x14ac:dyDescent="0.25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</row>
    <row r="6" spans="1:13" x14ac:dyDescent="0.25">
      <c r="A6" s="267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</row>
    <row r="7" spans="1:13" x14ac:dyDescent="0.25">
      <c r="A7" s="270" t="s">
        <v>563</v>
      </c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</row>
    <row r="8" spans="1:13" x14ac:dyDescent="0.25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</row>
    <row r="9" spans="1:13" x14ac:dyDescent="0.25">
      <c r="A9" s="267"/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</row>
    <row r="10" spans="1:13" x14ac:dyDescent="0.25">
      <c r="A10" s="267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</row>
    <row r="11" spans="1:13" ht="31.5" customHeight="1" x14ac:dyDescent="0.25">
      <c r="A11" s="267"/>
      <c r="B11" s="267"/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M11" s="267"/>
    </row>
    <row r="12" spans="1:13" ht="22.5" customHeight="1" x14ac:dyDescent="0.25">
      <c r="A12" s="268" t="s">
        <v>562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</row>
    <row r="13" spans="1:13" x14ac:dyDescent="0.25">
      <c r="A13" s="267"/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</row>
    <row r="14" spans="1:13" x14ac:dyDescent="0.25">
      <c r="A14" s="267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</row>
    <row r="15" spans="1:13" x14ac:dyDescent="0.25">
      <c r="A15" s="267"/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</row>
    <row r="16" spans="1:13" x14ac:dyDescent="0.25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</row>
    <row r="17" spans="1:13" x14ac:dyDescent="0.25">
      <c r="A17" s="267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</row>
    <row r="18" spans="1:13" ht="39.75" customHeight="1" x14ac:dyDescent="0.25">
      <c r="A18" s="267"/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</row>
  </sheetData>
  <mergeCells count="3">
    <mergeCell ref="A1:M6"/>
    <mergeCell ref="A12:M18"/>
    <mergeCell ref="A7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showGridLines="0" zoomScaleNormal="100" workbookViewId="0">
      <pane ySplit="2" topLeftCell="A3" activePane="bottomLeft" state="frozen"/>
      <selection pane="bottomLeft" sqref="A1:P1"/>
    </sheetView>
  </sheetViews>
  <sheetFormatPr defaultColWidth="8.7109375" defaultRowHeight="15" x14ac:dyDescent="0.25"/>
  <cols>
    <col min="1" max="1" width="18.5703125" customWidth="1"/>
    <col min="2" max="2" width="38.140625" customWidth="1"/>
    <col min="3" max="3" width="23.85546875" customWidth="1"/>
    <col min="4" max="4" width="10" customWidth="1"/>
    <col min="5" max="5" width="13.140625" hidden="1" customWidth="1"/>
    <col min="6" max="6" width="29.28515625" customWidth="1"/>
    <col min="7" max="7" width="16.28515625" customWidth="1"/>
    <col min="8" max="8" width="4.85546875" customWidth="1"/>
    <col min="9" max="9" width="0.28515625" customWidth="1"/>
    <col min="10" max="11" width="10" customWidth="1"/>
    <col min="12" max="12" width="14" customWidth="1"/>
    <col min="13" max="13" width="0.140625" customWidth="1"/>
    <col min="14" max="14" width="29" customWidth="1"/>
    <col min="15" max="15" width="7.42578125" customWidth="1"/>
    <col min="16" max="16" width="10" hidden="1" customWidth="1"/>
  </cols>
  <sheetData>
    <row r="1" spans="1:16" ht="30" customHeight="1" x14ac:dyDescent="0.25">
      <c r="A1" s="26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</row>
    <row r="2" spans="1:16" ht="18" customHeight="1" x14ac:dyDescent="0.25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</row>
    <row r="3" spans="1:16" ht="3.75" customHeight="1" x14ac:dyDescent="0.25"/>
    <row r="4" spans="1:16" ht="0.75" hidden="1" customHeight="1" x14ac:dyDescent="0.25">
      <c r="A4" s="181"/>
      <c r="B4" s="181"/>
      <c r="C4" s="182"/>
      <c r="D4" s="182"/>
      <c r="E4" s="182"/>
      <c r="F4" s="182"/>
      <c r="G4" s="182"/>
      <c r="H4" s="182"/>
    </row>
    <row r="5" spans="1:16" ht="15" hidden="1" customHeight="1" x14ac:dyDescent="0.25">
      <c r="A5" s="73"/>
      <c r="B5" s="183"/>
      <c r="C5" s="183"/>
      <c r="D5" s="183"/>
      <c r="E5" s="183"/>
      <c r="F5" s="183"/>
      <c r="G5" s="183"/>
      <c r="H5" s="183"/>
    </row>
    <row r="6" spans="1:16" ht="15" hidden="1" customHeight="1" x14ac:dyDescent="0.25">
      <c r="A6" s="73"/>
      <c r="B6" s="183"/>
      <c r="C6" s="183"/>
      <c r="D6" s="183"/>
      <c r="E6" s="183"/>
      <c r="F6" s="183"/>
      <c r="G6" s="183"/>
      <c r="H6" s="183"/>
    </row>
    <row r="7" spans="1:16" ht="15" hidden="1" customHeight="1" x14ac:dyDescent="0.25">
      <c r="A7" s="73"/>
      <c r="B7" s="183"/>
      <c r="C7" s="183"/>
      <c r="D7" s="183"/>
      <c r="E7" s="183"/>
      <c r="F7" s="183"/>
      <c r="G7" s="183"/>
      <c r="H7" s="183"/>
    </row>
    <row r="8" spans="1:16" ht="15" hidden="1" customHeight="1" x14ac:dyDescent="0.25">
      <c r="A8" s="73"/>
      <c r="B8" s="183"/>
      <c r="C8" s="183"/>
      <c r="D8" s="183"/>
      <c r="E8" s="183"/>
      <c r="F8" s="183"/>
      <c r="G8" s="183"/>
      <c r="H8" s="183"/>
    </row>
    <row r="9" spans="1:16" ht="15" hidden="1" customHeight="1" x14ac:dyDescent="0.25">
      <c r="A9" s="73"/>
      <c r="B9" s="183"/>
      <c r="C9" s="183"/>
      <c r="D9" s="183"/>
      <c r="E9" s="183"/>
      <c r="F9" s="183"/>
      <c r="G9" s="183"/>
      <c r="H9" s="183"/>
    </row>
    <row r="10" spans="1:16" ht="15" hidden="1" customHeight="1" x14ac:dyDescent="0.25">
      <c r="A10" s="73"/>
      <c r="B10" s="183"/>
      <c r="C10" s="183"/>
      <c r="D10" s="183"/>
      <c r="E10" s="183"/>
      <c r="F10" s="183"/>
      <c r="G10" s="183"/>
      <c r="H10" s="183"/>
    </row>
    <row r="11" spans="1:16" ht="15" hidden="1" customHeight="1" x14ac:dyDescent="0.25">
      <c r="A11" s="73"/>
      <c r="B11" s="183"/>
      <c r="C11" s="183"/>
      <c r="D11" s="183"/>
      <c r="E11" s="183"/>
      <c r="F11" s="183"/>
      <c r="G11" s="183"/>
      <c r="H11" s="183"/>
    </row>
    <row r="12" spans="1:16" ht="15" hidden="1" customHeight="1" x14ac:dyDescent="0.25">
      <c r="A12" s="73"/>
      <c r="B12" s="183"/>
      <c r="C12" s="183"/>
      <c r="D12" s="183"/>
      <c r="E12" s="183"/>
      <c r="F12" s="183"/>
      <c r="G12" s="183"/>
      <c r="H12" s="183"/>
    </row>
    <row r="13" spans="1:16" ht="15" hidden="1" customHeight="1" x14ac:dyDescent="0.25">
      <c r="A13" s="73"/>
      <c r="B13" s="183"/>
      <c r="C13" s="183"/>
      <c r="D13" s="183"/>
      <c r="E13" s="183"/>
      <c r="F13" s="183"/>
      <c r="G13" s="183"/>
      <c r="H13" s="183"/>
    </row>
    <row r="14" spans="1:16" ht="15" hidden="1" customHeight="1" x14ac:dyDescent="0.25">
      <c r="A14" s="73"/>
      <c r="B14" s="183"/>
      <c r="C14" s="183"/>
      <c r="D14" s="183"/>
      <c r="E14" s="183"/>
      <c r="F14" s="183"/>
      <c r="G14" s="183"/>
      <c r="H14" s="183"/>
    </row>
    <row r="15" spans="1:16" ht="7.5" hidden="1" customHeight="1" x14ac:dyDescent="0.25"/>
    <row r="16" spans="1:16" ht="15" customHeight="1" x14ac:dyDescent="0.25">
      <c r="A16" s="181" t="s">
        <v>1</v>
      </c>
      <c r="B16" s="181"/>
      <c r="C16" s="181"/>
      <c r="D16" s="181"/>
      <c r="E16" s="181"/>
      <c r="F16" s="181"/>
      <c r="G16" s="181"/>
      <c r="H16" s="181"/>
    </row>
    <row r="17" spans="1:16" ht="15" customHeight="1" x14ac:dyDescent="0.25">
      <c r="A17" s="74" t="s">
        <v>2</v>
      </c>
      <c r="B17" s="74" t="s">
        <v>3</v>
      </c>
      <c r="C17" s="74" t="s">
        <v>4</v>
      </c>
      <c r="D17" s="74" t="s">
        <v>5</v>
      </c>
      <c r="E17" s="74" t="s">
        <v>6</v>
      </c>
    </row>
    <row r="18" spans="1:16" ht="15" customHeight="1" x14ac:dyDescent="0.25">
      <c r="A18" s="75">
        <f>COUNTA($L$33:$L$42)</f>
        <v>10</v>
      </c>
      <c r="B18" s="75">
        <f>COUNTIF($L$33:$L$42,"Completed")</f>
        <v>5</v>
      </c>
      <c r="C18" s="75">
        <f>COUNTIF($L$33:$L$42,"In Progress")</f>
        <v>2</v>
      </c>
      <c r="D18" s="75">
        <f>COUNTIF($L$33:$L$42,"Not Started")</f>
        <v>3</v>
      </c>
      <c r="E18" s="76">
        <f>IF(A18=0,0,B18/A18)</f>
        <v>0.5</v>
      </c>
    </row>
    <row r="19" spans="1:16" ht="7.5" customHeight="1" x14ac:dyDescent="0.25"/>
    <row r="20" spans="1:16" ht="15" customHeight="1" x14ac:dyDescent="0.25">
      <c r="A20" s="181" t="s">
        <v>7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</row>
    <row r="21" spans="1:16" ht="15" customHeight="1" x14ac:dyDescent="0.25">
      <c r="A21" s="77" t="s">
        <v>8</v>
      </c>
      <c r="B21" s="77" t="s">
        <v>9</v>
      </c>
      <c r="C21" s="77" t="s">
        <v>10</v>
      </c>
      <c r="D21" s="77"/>
      <c r="F21" s="77"/>
      <c r="G21" s="77"/>
      <c r="H21" s="77"/>
      <c r="I21" s="77"/>
      <c r="J21" s="77"/>
      <c r="K21" s="77"/>
      <c r="L21" s="77"/>
      <c r="N21" s="77" t="s">
        <v>11</v>
      </c>
    </row>
    <row r="22" spans="1:16" ht="15" customHeight="1" x14ac:dyDescent="0.25">
      <c r="A22" s="78" t="s">
        <v>12</v>
      </c>
      <c r="B22" s="79" t="s">
        <v>13</v>
      </c>
      <c r="C22" s="184" t="s">
        <v>14</v>
      </c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80" t="s">
        <v>15</v>
      </c>
    </row>
    <row r="23" spans="1:16" ht="15" customHeight="1" x14ac:dyDescent="0.25">
      <c r="A23" s="78" t="s">
        <v>16</v>
      </c>
      <c r="B23" s="79" t="s">
        <v>13</v>
      </c>
      <c r="C23" s="185" t="s">
        <v>17</v>
      </c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80" t="s">
        <v>18</v>
      </c>
    </row>
    <row r="24" spans="1:16" ht="15" customHeight="1" x14ac:dyDescent="0.25">
      <c r="A24" s="81" t="s">
        <v>19</v>
      </c>
      <c r="B24" s="82" t="s">
        <v>20</v>
      </c>
      <c r="C24" s="186" t="s">
        <v>21</v>
      </c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83" t="s">
        <v>22</v>
      </c>
    </row>
    <row r="25" spans="1:16" ht="15" customHeight="1" x14ac:dyDescent="0.25">
      <c r="A25" s="81" t="s">
        <v>23</v>
      </c>
      <c r="B25" s="82" t="s">
        <v>24</v>
      </c>
      <c r="C25" s="186" t="s">
        <v>25</v>
      </c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83" t="s">
        <v>26</v>
      </c>
    </row>
    <row r="26" spans="1:16" ht="15" customHeight="1" x14ac:dyDescent="0.25">
      <c r="A26" s="84" t="s">
        <v>27</v>
      </c>
      <c r="B26" s="85" t="s">
        <v>28</v>
      </c>
      <c r="C26" s="187" t="s">
        <v>29</v>
      </c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86" t="s">
        <v>30</v>
      </c>
    </row>
    <row r="27" spans="1:16" ht="15.75" hidden="1" customHeight="1" x14ac:dyDescent="0.25">
      <c r="A27" s="87" t="s">
        <v>31</v>
      </c>
      <c r="B27" s="88" t="s">
        <v>32</v>
      </c>
      <c r="C27" s="188" t="s">
        <v>33</v>
      </c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89" t="s">
        <v>34</v>
      </c>
    </row>
    <row r="28" spans="1:16" ht="15.75" customHeight="1" x14ac:dyDescent="0.25">
      <c r="A28" s="87" t="s">
        <v>35</v>
      </c>
      <c r="B28" s="88" t="s">
        <v>36</v>
      </c>
      <c r="C28" s="188" t="s">
        <v>37</v>
      </c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86" t="s">
        <v>38</v>
      </c>
    </row>
    <row r="29" spans="1:16" ht="15.75" customHeight="1" x14ac:dyDescent="0.25">
      <c r="A29" s="87" t="s">
        <v>39</v>
      </c>
      <c r="B29" s="88" t="s">
        <v>40</v>
      </c>
      <c r="C29" s="188" t="s">
        <v>41</v>
      </c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89" t="s">
        <v>42</v>
      </c>
    </row>
    <row r="30" spans="1:16" ht="17.25" customHeight="1" x14ac:dyDescent="0.25"/>
    <row r="31" spans="1:16" ht="15" customHeight="1" x14ac:dyDescent="0.25">
      <c r="A31" s="181" t="s">
        <v>43</v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</row>
    <row r="32" spans="1:16" ht="15" customHeight="1" x14ac:dyDescent="0.25">
      <c r="A32" s="77" t="s">
        <v>44</v>
      </c>
      <c r="B32" s="77" t="s">
        <v>45</v>
      </c>
      <c r="C32" s="77" t="s">
        <v>46</v>
      </c>
      <c r="F32" s="9" t="s">
        <v>47</v>
      </c>
      <c r="G32" s="10" t="s">
        <v>48</v>
      </c>
      <c r="J32" s="77" t="s">
        <v>49</v>
      </c>
      <c r="K32" s="77" t="s">
        <v>50</v>
      </c>
      <c r="L32" s="77" t="s">
        <v>51</v>
      </c>
    </row>
    <row r="33" spans="1:12" ht="15" customHeight="1" x14ac:dyDescent="0.25">
      <c r="A33" s="90">
        <v>1</v>
      </c>
      <c r="B33" s="91" t="s">
        <v>52</v>
      </c>
      <c r="C33" s="92" t="s">
        <v>53</v>
      </c>
      <c r="F33" s="12" t="b">
        <f>COUNTIF($G$33:G33,G33)&gt;1</f>
        <v>0</v>
      </c>
      <c r="G33" s="11" t="s">
        <v>54</v>
      </c>
      <c r="J33" s="92" t="s">
        <v>55</v>
      </c>
      <c r="K33" s="92" t="s">
        <v>56</v>
      </c>
      <c r="L33" s="92" t="s">
        <v>3</v>
      </c>
    </row>
    <row r="34" spans="1:12" ht="15" customHeight="1" x14ac:dyDescent="0.25">
      <c r="A34" s="90">
        <v>2</v>
      </c>
      <c r="B34" s="91" t="s">
        <v>57</v>
      </c>
      <c r="C34" s="92" t="s">
        <v>58</v>
      </c>
      <c r="F34" s="12" t="str">
        <f>TRIM(CLEAN(G34))</f>
        <v>Priya Sharma</v>
      </c>
      <c r="G34" s="11" t="s">
        <v>59</v>
      </c>
      <c r="J34" s="92" t="s">
        <v>55</v>
      </c>
      <c r="K34" s="92" t="s">
        <v>56</v>
      </c>
      <c r="L34" s="92" t="s">
        <v>3</v>
      </c>
    </row>
    <row r="35" spans="1:12" ht="15" customHeight="1" x14ac:dyDescent="0.25">
      <c r="A35" s="90">
        <v>3</v>
      </c>
      <c r="B35" s="91" t="s">
        <v>60</v>
      </c>
      <c r="C35" s="92" t="s">
        <v>61</v>
      </c>
      <c r="F35" s="12" t="str">
        <f>PROPER(G35)</f>
        <v>North West</v>
      </c>
      <c r="G35" s="11" t="s">
        <v>62</v>
      </c>
      <c r="J35" s="92" t="s">
        <v>55</v>
      </c>
      <c r="K35" s="92" t="s">
        <v>63</v>
      </c>
      <c r="L35" s="92" t="s">
        <v>3</v>
      </c>
    </row>
    <row r="36" spans="1:12" ht="15" customHeight="1" x14ac:dyDescent="0.25">
      <c r="A36" s="93">
        <v>4</v>
      </c>
      <c r="B36" s="94" t="s">
        <v>64</v>
      </c>
      <c r="C36" s="95" t="s">
        <v>65</v>
      </c>
      <c r="F36" s="12">
        <f>DATEVALUE(G36)</f>
        <v>45320</v>
      </c>
      <c r="G36" s="11" t="s">
        <v>66</v>
      </c>
      <c r="J36" s="95" t="s">
        <v>67</v>
      </c>
      <c r="K36" s="95" t="s">
        <v>56</v>
      </c>
      <c r="L36" s="95" t="s">
        <v>3</v>
      </c>
    </row>
    <row r="37" spans="1:12" ht="15" customHeight="1" x14ac:dyDescent="0.25">
      <c r="A37" s="93">
        <v>5</v>
      </c>
      <c r="B37" s="94" t="s">
        <v>68</v>
      </c>
      <c r="C37" s="95" t="s">
        <v>69</v>
      </c>
      <c r="F37" s="12" t="str">
        <f>IF(G37="","Unknown",G37)</f>
        <v>Unknown</v>
      </c>
      <c r="G37" s="11"/>
      <c r="J37" s="95" t="s">
        <v>67</v>
      </c>
      <c r="K37" s="95" t="s">
        <v>63</v>
      </c>
      <c r="L37" s="95" t="s">
        <v>3</v>
      </c>
    </row>
    <row r="38" spans="1:12" ht="15" customHeight="1" x14ac:dyDescent="0.25">
      <c r="A38" s="96">
        <v>6</v>
      </c>
      <c r="B38" s="97" t="s">
        <v>70</v>
      </c>
      <c r="C38" s="98" t="s">
        <v>71</v>
      </c>
      <c r="F38" s="12" t="str">
        <f>LEFT(G38,FIND(" ",G38)-1)</f>
        <v>Karan</v>
      </c>
      <c r="G38" s="11" t="s">
        <v>72</v>
      </c>
      <c r="J38" s="98" t="s">
        <v>67</v>
      </c>
      <c r="K38" s="98" t="s">
        <v>73</v>
      </c>
      <c r="L38" s="98" t="s">
        <v>4</v>
      </c>
    </row>
    <row r="39" spans="1:12" ht="15" customHeight="1" x14ac:dyDescent="0.25">
      <c r="A39" s="99">
        <v>7</v>
      </c>
      <c r="B39" s="100" t="s">
        <v>74</v>
      </c>
      <c r="C39" s="101" t="s">
        <v>75</v>
      </c>
      <c r="F39" s="13">
        <f>VALUE(SUBSTITUTE(SUBSTITUTE(G39,"Rs. ",""),",",""))</f>
        <v>150000</v>
      </c>
      <c r="G39" s="11" t="s">
        <v>76</v>
      </c>
      <c r="J39" s="101" t="s">
        <v>77</v>
      </c>
      <c r="K39" s="101" t="s">
        <v>56</v>
      </c>
      <c r="L39" s="101" t="s">
        <v>4</v>
      </c>
    </row>
    <row r="40" spans="1:12" ht="15" customHeight="1" x14ac:dyDescent="0.25">
      <c r="A40" s="102">
        <v>8</v>
      </c>
      <c r="B40" s="103" t="s">
        <v>78</v>
      </c>
      <c r="C40" s="104" t="s">
        <v>79</v>
      </c>
      <c r="F40" s="12" t="str">
        <f>IF(AND(G40&gt;=18,G40&lt;=65),"Valid","Invalid")</f>
        <v>Valid</v>
      </c>
      <c r="G40" s="11">
        <v>45</v>
      </c>
      <c r="J40" s="104" t="s">
        <v>77</v>
      </c>
      <c r="K40" s="104" t="s">
        <v>63</v>
      </c>
      <c r="L40" s="104" t="s">
        <v>5</v>
      </c>
    </row>
    <row r="41" spans="1:12" ht="15" customHeight="1" x14ac:dyDescent="0.25">
      <c r="A41" s="102">
        <v>9</v>
      </c>
      <c r="B41" s="103" t="s">
        <v>80</v>
      </c>
      <c r="C41" s="104" t="s">
        <v>81</v>
      </c>
      <c r="F41" s="12" t="str">
        <f>PROPER(G41)</f>
        <v>Electronics</v>
      </c>
      <c r="G41" s="11" t="s">
        <v>82</v>
      </c>
      <c r="J41" s="104" t="s">
        <v>77</v>
      </c>
      <c r="K41" s="104" t="s">
        <v>63</v>
      </c>
      <c r="L41" s="104" t="s">
        <v>5</v>
      </c>
    </row>
    <row r="42" spans="1:12" ht="15" customHeight="1" x14ac:dyDescent="0.25">
      <c r="A42" s="105">
        <v>10</v>
      </c>
      <c r="B42" s="106" t="s">
        <v>83</v>
      </c>
      <c r="C42" s="107" t="s">
        <v>84</v>
      </c>
      <c r="F42" s="12" t="str">
        <f>G42&amp;", Mumbai, 400001"</f>
        <v>123 Main St, Mumbai, 400001</v>
      </c>
      <c r="G42" s="11" t="s">
        <v>85</v>
      </c>
      <c r="J42" s="107" t="s">
        <v>86</v>
      </c>
      <c r="K42" s="107" t="s">
        <v>73</v>
      </c>
      <c r="L42" s="107" t="s">
        <v>5</v>
      </c>
    </row>
  </sheetData>
  <mergeCells count="25">
    <mergeCell ref="C26:M26"/>
    <mergeCell ref="C27:M27"/>
    <mergeCell ref="C28:M28"/>
    <mergeCell ref="C29:M29"/>
    <mergeCell ref="A31:P31"/>
    <mergeCell ref="A20:P20"/>
    <mergeCell ref="C22:M22"/>
    <mergeCell ref="C23:M23"/>
    <mergeCell ref="C24:M24"/>
    <mergeCell ref="C25:M25"/>
    <mergeCell ref="B11:H11"/>
    <mergeCell ref="B12:H12"/>
    <mergeCell ref="B13:H13"/>
    <mergeCell ref="B14:H14"/>
    <mergeCell ref="A16:H16"/>
    <mergeCell ref="B6:H6"/>
    <mergeCell ref="B7:H7"/>
    <mergeCell ref="B8:H8"/>
    <mergeCell ref="B9:H9"/>
    <mergeCell ref="B10:H10"/>
    <mergeCell ref="A1:P1"/>
    <mergeCell ref="A2:P2"/>
    <mergeCell ref="A4:B4"/>
    <mergeCell ref="C4:H4"/>
    <mergeCell ref="B5:H5"/>
  </mergeCells>
  <hyperlinks>
    <hyperlink ref="A22" r:id="rId1" location="Raw%20Data!A1" xr:uid="{00000000-0004-0000-0100-000000000000}"/>
    <hyperlink ref="N22" location="'Raw Data'!A1" display="→ Open Raw Data (153 rows)" xr:uid="{00000000-0004-0000-0100-000001000000}"/>
    <hyperlink ref="A23" r:id="rId2" location="Cleaned%20Data!A1" xr:uid="{00000000-0004-0000-0100-000002000000}"/>
    <hyperlink ref="N23" location="'Cleaned Data'!A1" display="→ Open Cleaned Data (153 rows)" xr:uid="{00000000-0004-0000-0100-000003000000}"/>
    <hyperlink ref="A24" r:id="rId3" location="Gantt%20Chart!A1" xr:uid="{00000000-0004-0000-0100-000004000000}"/>
    <hyperlink ref="N24" location="'Gantt Chart'!A1" display="→ Open Gantt Chart" xr:uid="{00000000-0004-0000-0100-000005000000}"/>
    <hyperlink ref="A25" r:id="rId4" location="Resource%20Planner!A1" xr:uid="{00000000-0004-0000-0100-000006000000}"/>
    <hyperlink ref="N25" location="'Resource Planner'!A1" display="→ Open Resource Planner" xr:uid="{00000000-0004-0000-0100-000007000000}"/>
    <hyperlink ref="A26" r:id="rId5" location="Task%20Tracker!A1" xr:uid="{00000000-0004-0000-0100-000008000000}"/>
    <hyperlink ref="N26" location="'Task Tracker'!A1" display="→ Open Task Tracker" xr:uid="{00000000-0004-0000-0100-000009000000}"/>
    <hyperlink ref="A27" r:id="rId6" location="Data%20Reference!A1" xr:uid="{00000000-0004-0000-0100-00000A000000}"/>
    <hyperlink ref="N27" location="Checklist!A1" display="→ Open Checklist" xr:uid="{00000000-0004-0000-0100-00000B000000}"/>
    <hyperlink ref="N28" location="Dashboard_1!A1" display="→Open Dashboard" xr:uid="{00000000-0004-0000-0100-00000C000000}"/>
    <hyperlink ref="N29" location="KPI!A1" display="→Open KPI" xr:uid="{00000000-0004-0000-0100-00000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3"/>
  <sheetViews>
    <sheetView showGridLines="0" zoomScale="70" zoomScaleNormal="70" workbookViewId="0">
      <pane ySplit="3" topLeftCell="A4" activePane="bottomLeft" state="frozen"/>
      <selection activeCell="C1" sqref="C1"/>
      <selection pane="bottomLeft" activeCell="L51" sqref="L51"/>
    </sheetView>
  </sheetViews>
  <sheetFormatPr defaultColWidth="8.7109375" defaultRowHeight="15" x14ac:dyDescent="0.25"/>
  <cols>
    <col min="1" max="1" width="7.140625" customWidth="1"/>
    <col min="2" max="2" width="38" customWidth="1"/>
    <col min="3" max="3" width="10" customWidth="1"/>
    <col min="4" max="4" width="20" customWidth="1"/>
    <col min="5" max="5" width="16" customWidth="1"/>
    <col min="6" max="6" width="14" customWidth="1"/>
    <col min="7" max="7" width="12.7109375" customWidth="1"/>
    <col min="8" max="8" width="18" customWidth="1"/>
    <col min="9" max="9" width="14" customWidth="1"/>
    <col min="10" max="10" width="14.7109375" customWidth="1"/>
    <col min="11" max="11" width="12" customWidth="1"/>
    <col min="12" max="12" width="16.42578125" customWidth="1"/>
    <col min="13" max="13" width="10.42578125" customWidth="1"/>
    <col min="14" max="14" width="16.7109375" customWidth="1"/>
    <col min="15" max="15" width="18" customWidth="1"/>
  </cols>
  <sheetData>
    <row r="1" spans="1:15" ht="25.5" customHeight="1" x14ac:dyDescent="0.25">
      <c r="A1" s="178" t="s">
        <v>87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</row>
    <row r="2" spans="1:15" ht="15" customHeight="1" x14ac:dyDescent="0.25">
      <c r="O2" s="14" t="s">
        <v>88</v>
      </c>
    </row>
    <row r="3" spans="1:15" ht="31.5" customHeight="1" x14ac:dyDescent="0.25">
      <c r="A3" s="108" t="s">
        <v>89</v>
      </c>
      <c r="B3" s="108" t="s">
        <v>90</v>
      </c>
      <c r="C3" s="108" t="s">
        <v>49</v>
      </c>
      <c r="D3" s="108" t="s">
        <v>91</v>
      </c>
      <c r="E3" s="108" t="s">
        <v>92</v>
      </c>
      <c r="F3" s="108" t="s">
        <v>93</v>
      </c>
      <c r="G3" s="108" t="s">
        <v>94</v>
      </c>
      <c r="H3" s="108" t="s">
        <v>95</v>
      </c>
      <c r="I3" s="108" t="s">
        <v>51</v>
      </c>
      <c r="J3" s="108" t="s">
        <v>96</v>
      </c>
      <c r="K3" s="108" t="s">
        <v>50</v>
      </c>
      <c r="L3" s="108" t="s">
        <v>97</v>
      </c>
      <c r="M3" s="108" t="s">
        <v>98</v>
      </c>
      <c r="N3" s="108" t="s">
        <v>99</v>
      </c>
      <c r="O3" s="108" t="s">
        <v>100</v>
      </c>
    </row>
    <row r="4" spans="1:15" ht="15" customHeight="1" x14ac:dyDescent="0.25">
      <c r="A4" s="109">
        <v>1</v>
      </c>
      <c r="B4" s="110" t="s">
        <v>52</v>
      </c>
      <c r="C4" s="109" t="s">
        <v>101</v>
      </c>
      <c r="D4" s="109" t="s">
        <v>102</v>
      </c>
      <c r="E4" s="109" t="s">
        <v>103</v>
      </c>
      <c r="F4" s="109" t="s">
        <v>104</v>
      </c>
      <c r="G4" s="109"/>
      <c r="H4" s="109" t="str">
        <f t="shared" ref="H4:H16" si="0">IF(OR(F4="",G4=""),"",G4-F4)</f>
        <v/>
      </c>
      <c r="I4" s="109" t="str">
        <f t="shared" ref="I4:I16" si="1">IFERROR(IF(VALUE(SUBSTITUTE(SUBSTITUTE(J4,"%","")," ",""))&lt;=0,"Not Started",IF(VALUE(SUBSTITUTE(SUBSTITUTE(J4,"%","")," ",""))&gt;=100,"Completed","In Progress")),"Not Started")</f>
        <v>In Progress</v>
      </c>
      <c r="J4" s="109" t="s">
        <v>105</v>
      </c>
      <c r="K4" s="109" t="s">
        <v>106</v>
      </c>
      <c r="L4" s="109" t="s">
        <v>107</v>
      </c>
      <c r="M4" s="109" t="str">
        <f t="shared" ref="M4:M16" si="2">IF(H4="","",H4*8)</f>
        <v/>
      </c>
      <c r="N4" s="111" t="str">
        <f t="shared" ref="N4:N16" si="3">IF(OR(L4="",H4=""),"",L4*H4)</f>
        <v/>
      </c>
      <c r="O4" s="109" t="s">
        <v>108</v>
      </c>
    </row>
    <row r="5" spans="1:15" ht="15" customHeight="1" x14ac:dyDescent="0.25">
      <c r="A5" s="112">
        <v>2</v>
      </c>
      <c r="B5" s="113" t="s">
        <v>57</v>
      </c>
      <c r="C5" s="112" t="s">
        <v>109</v>
      </c>
      <c r="D5" s="112" t="s">
        <v>110</v>
      </c>
      <c r="E5" s="112" t="s">
        <v>111</v>
      </c>
      <c r="F5" s="112" t="s">
        <v>112</v>
      </c>
      <c r="G5" s="112"/>
      <c r="H5" s="112" t="str">
        <f t="shared" si="0"/>
        <v/>
      </c>
      <c r="I5" s="112" t="str">
        <f t="shared" si="1"/>
        <v>Completed</v>
      </c>
      <c r="J5" s="112" t="s">
        <v>113</v>
      </c>
      <c r="K5" s="112" t="s">
        <v>114</v>
      </c>
      <c r="L5" s="112" t="s">
        <v>115</v>
      </c>
      <c r="M5" s="112" t="str">
        <f t="shared" si="2"/>
        <v/>
      </c>
      <c r="N5" s="114" t="str">
        <f t="shared" si="3"/>
        <v/>
      </c>
      <c r="O5" s="112" t="s">
        <v>108</v>
      </c>
    </row>
    <row r="6" spans="1:15" ht="15" customHeight="1" x14ac:dyDescent="0.25">
      <c r="A6" s="109">
        <v>3</v>
      </c>
      <c r="B6" s="110" t="s">
        <v>60</v>
      </c>
      <c r="C6" s="109" t="s">
        <v>77</v>
      </c>
      <c r="D6" s="109" t="s">
        <v>116</v>
      </c>
      <c r="E6" s="109" t="s">
        <v>117</v>
      </c>
      <c r="F6" s="109" t="s">
        <v>118</v>
      </c>
      <c r="G6" s="109"/>
      <c r="H6" s="109" t="str">
        <f t="shared" si="0"/>
        <v/>
      </c>
      <c r="I6" s="109" t="str">
        <f t="shared" si="1"/>
        <v>In Progress</v>
      </c>
      <c r="J6" s="109" t="s">
        <v>119</v>
      </c>
      <c r="K6" s="109" t="s">
        <v>120</v>
      </c>
      <c r="L6" s="109" t="s">
        <v>115</v>
      </c>
      <c r="M6" s="109" t="str">
        <f t="shared" si="2"/>
        <v/>
      </c>
      <c r="N6" s="111" t="str">
        <f t="shared" si="3"/>
        <v/>
      </c>
      <c r="O6" s="109" t="s">
        <v>108</v>
      </c>
    </row>
    <row r="7" spans="1:15" ht="15" customHeight="1" x14ac:dyDescent="0.25">
      <c r="A7" s="112">
        <v>4</v>
      </c>
      <c r="B7" s="113" t="s">
        <v>64</v>
      </c>
      <c r="C7" s="112" t="s">
        <v>121</v>
      </c>
      <c r="D7" s="112" t="s">
        <v>122</v>
      </c>
      <c r="E7" s="112" t="s">
        <v>123</v>
      </c>
      <c r="F7" s="112" t="s">
        <v>124</v>
      </c>
      <c r="G7" s="112"/>
      <c r="H7" s="112" t="str">
        <f t="shared" si="0"/>
        <v/>
      </c>
      <c r="I7" s="112" t="str">
        <f t="shared" si="1"/>
        <v>Not Started</v>
      </c>
      <c r="J7" s="112" t="s">
        <v>125</v>
      </c>
      <c r="K7" s="112" t="s">
        <v>126</v>
      </c>
      <c r="L7" s="112" t="s">
        <v>127</v>
      </c>
      <c r="M7" s="112" t="str">
        <f t="shared" si="2"/>
        <v/>
      </c>
      <c r="N7" s="114" t="str">
        <f t="shared" si="3"/>
        <v/>
      </c>
      <c r="O7" s="112" t="s">
        <v>108</v>
      </c>
    </row>
    <row r="8" spans="1:15" ht="15" customHeight="1" x14ac:dyDescent="0.25">
      <c r="A8" s="109">
        <v>5</v>
      </c>
      <c r="B8" s="110" t="s">
        <v>68</v>
      </c>
      <c r="C8" s="109" t="s">
        <v>101</v>
      </c>
      <c r="D8" s="109" t="s">
        <v>128</v>
      </c>
      <c r="E8" s="109" t="s">
        <v>129</v>
      </c>
      <c r="F8" s="109" t="s">
        <v>130</v>
      </c>
      <c r="G8" s="109"/>
      <c r="H8" s="109" t="str">
        <f t="shared" si="0"/>
        <v/>
      </c>
      <c r="I8" s="109" t="str">
        <f t="shared" si="1"/>
        <v>Completed</v>
      </c>
      <c r="J8" s="109" t="s">
        <v>131</v>
      </c>
      <c r="K8" s="109" t="s">
        <v>120</v>
      </c>
      <c r="L8" s="109" t="s">
        <v>132</v>
      </c>
      <c r="M8" s="109" t="str">
        <f t="shared" si="2"/>
        <v/>
      </c>
      <c r="N8" s="111" t="str">
        <f t="shared" si="3"/>
        <v/>
      </c>
      <c r="O8" s="109" t="s">
        <v>108</v>
      </c>
    </row>
    <row r="9" spans="1:15" ht="15" customHeight="1" x14ac:dyDescent="0.25">
      <c r="A9" s="112">
        <v>6</v>
      </c>
      <c r="B9" s="113" t="s">
        <v>70</v>
      </c>
      <c r="C9" s="112" t="s">
        <v>133</v>
      </c>
      <c r="D9" s="112" t="s">
        <v>134</v>
      </c>
      <c r="E9" s="112" t="s">
        <v>135</v>
      </c>
      <c r="F9" s="112" t="s">
        <v>136</v>
      </c>
      <c r="G9" s="112"/>
      <c r="H9" s="112" t="str">
        <f t="shared" si="0"/>
        <v/>
      </c>
      <c r="I9" s="112" t="str">
        <f t="shared" si="1"/>
        <v>In Progress</v>
      </c>
      <c r="J9" s="112" t="s">
        <v>137</v>
      </c>
      <c r="K9" s="112" t="s">
        <v>126</v>
      </c>
      <c r="L9" s="112" t="s">
        <v>138</v>
      </c>
      <c r="M9" s="112" t="str">
        <f t="shared" si="2"/>
        <v/>
      </c>
      <c r="N9" s="114" t="str">
        <f t="shared" si="3"/>
        <v/>
      </c>
      <c r="O9" s="112" t="s">
        <v>139</v>
      </c>
    </row>
    <row r="10" spans="1:15" ht="15" customHeight="1" x14ac:dyDescent="0.25">
      <c r="A10" s="109">
        <v>7</v>
      </c>
      <c r="B10" s="110" t="s">
        <v>57</v>
      </c>
      <c r="C10" s="109" t="s">
        <v>109</v>
      </c>
      <c r="D10" s="109"/>
      <c r="E10" s="109" t="s">
        <v>111</v>
      </c>
      <c r="F10" s="109" t="s">
        <v>112</v>
      </c>
      <c r="G10" s="109"/>
      <c r="H10" s="109" t="str">
        <f t="shared" si="0"/>
        <v/>
      </c>
      <c r="I10" s="109" t="str">
        <f t="shared" si="1"/>
        <v>Completed</v>
      </c>
      <c r="J10" s="109" t="s">
        <v>113</v>
      </c>
      <c r="K10" s="109" t="s">
        <v>114</v>
      </c>
      <c r="L10" s="109" t="s">
        <v>115</v>
      </c>
      <c r="M10" s="109" t="str">
        <f t="shared" si="2"/>
        <v/>
      </c>
      <c r="N10" s="111" t="str">
        <f t="shared" si="3"/>
        <v/>
      </c>
      <c r="O10" s="109" t="s">
        <v>108</v>
      </c>
    </row>
    <row r="11" spans="1:15" ht="15" customHeight="1" x14ac:dyDescent="0.25">
      <c r="A11" s="112">
        <v>8</v>
      </c>
      <c r="B11" s="113" t="s">
        <v>78</v>
      </c>
      <c r="C11" s="112" t="s">
        <v>121</v>
      </c>
      <c r="D11" s="112" t="s">
        <v>140</v>
      </c>
      <c r="E11" s="112" t="s">
        <v>141</v>
      </c>
      <c r="F11" s="112" t="s">
        <v>142</v>
      </c>
      <c r="G11" s="112"/>
      <c r="H11" s="112" t="str">
        <f t="shared" si="0"/>
        <v/>
      </c>
      <c r="I11" s="112" t="str">
        <f t="shared" si="1"/>
        <v>Completed</v>
      </c>
      <c r="J11" s="112" t="s">
        <v>113</v>
      </c>
      <c r="K11" s="112" t="s">
        <v>106</v>
      </c>
      <c r="L11" s="112" t="s">
        <v>143</v>
      </c>
      <c r="M11" s="112" t="str">
        <f t="shared" si="2"/>
        <v/>
      </c>
      <c r="N11" s="114" t="str">
        <f t="shared" si="3"/>
        <v/>
      </c>
      <c r="O11" s="112" t="s">
        <v>108</v>
      </c>
    </row>
    <row r="12" spans="1:15" ht="15" customHeight="1" x14ac:dyDescent="0.25">
      <c r="A12" s="109">
        <v>9</v>
      </c>
      <c r="B12" s="110" t="s">
        <v>80</v>
      </c>
      <c r="C12" s="109" t="s">
        <v>144</v>
      </c>
      <c r="D12" s="109" t="s">
        <v>145</v>
      </c>
      <c r="E12" s="109" t="s">
        <v>146</v>
      </c>
      <c r="F12" s="109" t="s">
        <v>147</v>
      </c>
      <c r="G12" s="109"/>
      <c r="H12" s="109" t="str">
        <f t="shared" si="0"/>
        <v/>
      </c>
      <c r="I12" s="109" t="str">
        <f t="shared" si="1"/>
        <v>In Progress</v>
      </c>
      <c r="J12" s="109" t="s">
        <v>148</v>
      </c>
      <c r="K12" s="109" t="s">
        <v>149</v>
      </c>
      <c r="L12" s="109" t="s">
        <v>150</v>
      </c>
      <c r="M12" s="109" t="str">
        <f t="shared" si="2"/>
        <v/>
      </c>
      <c r="N12" s="111" t="str">
        <f t="shared" si="3"/>
        <v/>
      </c>
      <c r="O12" s="109" t="s">
        <v>151</v>
      </c>
    </row>
    <row r="13" spans="1:15" ht="15" customHeight="1" x14ac:dyDescent="0.25">
      <c r="A13" s="112">
        <v>10</v>
      </c>
      <c r="B13" s="113" t="s">
        <v>152</v>
      </c>
      <c r="C13" s="112" t="s">
        <v>153</v>
      </c>
      <c r="D13" s="112" t="s">
        <v>154</v>
      </c>
      <c r="E13" s="112" t="s">
        <v>155</v>
      </c>
      <c r="F13" s="112" t="s">
        <v>156</v>
      </c>
      <c r="G13" s="112"/>
      <c r="H13" s="112" t="str">
        <f t="shared" si="0"/>
        <v/>
      </c>
      <c r="I13" s="112" t="str">
        <f t="shared" si="1"/>
        <v>In Progress</v>
      </c>
      <c r="J13" s="112" t="s">
        <v>157</v>
      </c>
      <c r="K13" s="112" t="s">
        <v>158</v>
      </c>
      <c r="L13" s="112" t="s">
        <v>138</v>
      </c>
      <c r="M13" s="112" t="str">
        <f t="shared" si="2"/>
        <v/>
      </c>
      <c r="N13" s="114" t="str">
        <f t="shared" si="3"/>
        <v/>
      </c>
      <c r="O13" s="112" t="s">
        <v>108</v>
      </c>
    </row>
    <row r="14" spans="1:15" ht="15" customHeight="1" x14ac:dyDescent="0.25">
      <c r="A14" s="109">
        <v>11</v>
      </c>
      <c r="B14" s="110" t="s">
        <v>52</v>
      </c>
      <c r="C14" s="109" t="s">
        <v>159</v>
      </c>
      <c r="D14" s="109" t="s">
        <v>145</v>
      </c>
      <c r="E14" s="109" t="s">
        <v>103</v>
      </c>
      <c r="F14" s="109" t="s">
        <v>160</v>
      </c>
      <c r="G14" s="109"/>
      <c r="H14" s="109" t="str">
        <f t="shared" si="0"/>
        <v/>
      </c>
      <c r="I14" s="109" t="str">
        <f t="shared" si="1"/>
        <v>In Progress</v>
      </c>
      <c r="J14" s="109" t="s">
        <v>161</v>
      </c>
      <c r="K14" s="109" t="s">
        <v>106</v>
      </c>
      <c r="L14" s="109" t="s">
        <v>107</v>
      </c>
      <c r="M14" s="109" t="str">
        <f t="shared" si="2"/>
        <v/>
      </c>
      <c r="N14" s="111" t="str">
        <f t="shared" si="3"/>
        <v/>
      </c>
      <c r="O14" s="109" t="s">
        <v>162</v>
      </c>
    </row>
    <row r="15" spans="1:15" ht="15" customHeight="1" x14ac:dyDescent="0.25">
      <c r="A15" s="112">
        <v>12</v>
      </c>
      <c r="B15" s="113" t="s">
        <v>57</v>
      </c>
      <c r="C15" s="112" t="s">
        <v>163</v>
      </c>
      <c r="D15" s="112" t="s">
        <v>164</v>
      </c>
      <c r="E15" s="112" t="s">
        <v>165</v>
      </c>
      <c r="F15" s="112" t="s">
        <v>166</v>
      </c>
      <c r="G15" s="112" t="s">
        <v>167</v>
      </c>
      <c r="H15" s="112">
        <f t="shared" si="0"/>
        <v>-81</v>
      </c>
      <c r="I15" s="112" t="str">
        <f t="shared" si="1"/>
        <v>Not Started</v>
      </c>
      <c r="J15" s="112" t="s">
        <v>168</v>
      </c>
      <c r="K15" s="112" t="s">
        <v>73</v>
      </c>
      <c r="L15" s="112" t="s">
        <v>150</v>
      </c>
      <c r="M15" s="112">
        <f t="shared" si="2"/>
        <v>-648</v>
      </c>
      <c r="N15" s="114" t="e">
        <f t="shared" si="3"/>
        <v>#VALUE!</v>
      </c>
      <c r="O15" s="112" t="s">
        <v>169</v>
      </c>
    </row>
    <row r="16" spans="1:15" ht="15" customHeight="1" x14ac:dyDescent="0.25">
      <c r="A16" s="109">
        <v>13</v>
      </c>
      <c r="B16" s="110" t="s">
        <v>60</v>
      </c>
      <c r="C16" s="109" t="s">
        <v>101</v>
      </c>
      <c r="D16" s="109" t="s">
        <v>170</v>
      </c>
      <c r="E16" s="109" t="s">
        <v>171</v>
      </c>
      <c r="F16" s="109" t="s">
        <v>172</v>
      </c>
      <c r="G16" s="109"/>
      <c r="H16" s="109" t="str">
        <f t="shared" si="0"/>
        <v/>
      </c>
      <c r="I16" s="109" t="str">
        <f t="shared" si="1"/>
        <v>Completed</v>
      </c>
      <c r="J16" s="109" t="s">
        <v>173</v>
      </c>
      <c r="K16" s="109" t="s">
        <v>174</v>
      </c>
      <c r="L16" s="109" t="s">
        <v>150</v>
      </c>
      <c r="M16" s="109" t="str">
        <f t="shared" si="2"/>
        <v/>
      </c>
      <c r="N16" s="111" t="str">
        <f t="shared" si="3"/>
        <v/>
      </c>
      <c r="O16" s="109" t="s">
        <v>175</v>
      </c>
    </row>
    <row r="17" spans="1:15" ht="15" customHeight="1" x14ac:dyDescent="0.25">
      <c r="A17" s="112">
        <v>14</v>
      </c>
      <c r="B17" s="113"/>
      <c r="C17" s="112" t="s">
        <v>67</v>
      </c>
      <c r="D17" s="112" t="s">
        <v>176</v>
      </c>
      <c r="E17" s="112" t="s">
        <v>123</v>
      </c>
      <c r="F17" s="112" t="s">
        <v>177</v>
      </c>
      <c r="G17" s="112"/>
      <c r="H17" s="112">
        <v>28</v>
      </c>
      <c r="I17" s="112" t="s">
        <v>178</v>
      </c>
      <c r="J17" s="112" t="s">
        <v>179</v>
      </c>
      <c r="K17" s="112" t="s">
        <v>174</v>
      </c>
      <c r="L17" s="112" t="s">
        <v>150</v>
      </c>
      <c r="M17" s="112" t="s">
        <v>180</v>
      </c>
      <c r="N17" s="114" t="s">
        <v>181</v>
      </c>
      <c r="O17" s="112" t="s">
        <v>169</v>
      </c>
    </row>
    <row r="18" spans="1:15" ht="15" customHeight="1" x14ac:dyDescent="0.25">
      <c r="A18" s="109">
        <v>15</v>
      </c>
      <c r="B18" s="110" t="s">
        <v>68</v>
      </c>
      <c r="C18" s="109" t="s">
        <v>182</v>
      </c>
      <c r="D18" s="109" t="s">
        <v>183</v>
      </c>
      <c r="E18" s="109"/>
      <c r="F18" s="109" t="s">
        <v>184</v>
      </c>
      <c r="G18" s="109"/>
      <c r="H18" s="109" t="str">
        <f t="shared" ref="H18:H49" si="4">IF(OR(F18="",G18=""),"",G18-F18)</f>
        <v/>
      </c>
      <c r="I18" s="109" t="str">
        <f t="shared" ref="I18:I49" si="5">IFERROR(IF(VALUE(SUBSTITUTE(SUBSTITUTE(J18,"%","")," ",""))&lt;=0,"Not Started",IF(VALUE(SUBSTITUTE(SUBSTITUTE(J18,"%","")," ",""))&gt;=100,"Completed","In Progress")),"Not Started")</f>
        <v>In Progress</v>
      </c>
      <c r="J18" s="109" t="s">
        <v>185</v>
      </c>
      <c r="K18" s="109" t="s">
        <v>126</v>
      </c>
      <c r="L18" s="109" t="s">
        <v>107</v>
      </c>
      <c r="M18" s="109" t="str">
        <f t="shared" ref="M18:M49" si="6">IF(H18="","",H18*8)</f>
        <v/>
      </c>
      <c r="N18" s="111" t="str">
        <f t="shared" ref="N18:N49" si="7">IF(OR(L18="",H18=""),"",L18*H18)</f>
        <v/>
      </c>
      <c r="O18" s="109" t="s">
        <v>186</v>
      </c>
    </row>
    <row r="19" spans="1:15" ht="15" customHeight="1" x14ac:dyDescent="0.25">
      <c r="A19" s="112">
        <v>16</v>
      </c>
      <c r="B19" s="113" t="s">
        <v>70</v>
      </c>
      <c r="C19" s="112" t="s">
        <v>86</v>
      </c>
      <c r="D19" s="112" t="s">
        <v>187</v>
      </c>
      <c r="E19" s="112" t="s">
        <v>135</v>
      </c>
      <c r="F19" s="112" t="s">
        <v>188</v>
      </c>
      <c r="G19" s="112"/>
      <c r="H19" s="112" t="str">
        <f t="shared" si="4"/>
        <v/>
      </c>
      <c r="I19" s="112" t="str">
        <f t="shared" si="5"/>
        <v>In Progress</v>
      </c>
      <c r="J19" s="112" t="s">
        <v>137</v>
      </c>
      <c r="K19" s="112" t="s">
        <v>120</v>
      </c>
      <c r="L19" s="112" t="s">
        <v>132</v>
      </c>
      <c r="M19" s="112" t="str">
        <f t="shared" si="6"/>
        <v/>
      </c>
      <c r="N19" s="114" t="str">
        <f t="shared" si="7"/>
        <v/>
      </c>
      <c r="O19" s="112" t="s">
        <v>139</v>
      </c>
    </row>
    <row r="20" spans="1:15" ht="15" customHeight="1" x14ac:dyDescent="0.25">
      <c r="A20" s="109">
        <v>17</v>
      </c>
      <c r="B20" s="110" t="s">
        <v>74</v>
      </c>
      <c r="C20" s="109" t="s">
        <v>189</v>
      </c>
      <c r="D20" s="109" t="s">
        <v>190</v>
      </c>
      <c r="E20" s="109" t="s">
        <v>191</v>
      </c>
      <c r="F20" s="109" t="s">
        <v>192</v>
      </c>
      <c r="G20" s="109"/>
      <c r="H20" s="109" t="str">
        <f t="shared" si="4"/>
        <v/>
      </c>
      <c r="I20" s="109" t="str">
        <f t="shared" si="5"/>
        <v>Not Started</v>
      </c>
      <c r="J20" s="109" t="s">
        <v>125</v>
      </c>
      <c r="K20" s="109" t="s">
        <v>193</v>
      </c>
      <c r="L20" s="109" t="s">
        <v>143</v>
      </c>
      <c r="M20" s="109" t="str">
        <f t="shared" si="6"/>
        <v/>
      </c>
      <c r="N20" s="111" t="str">
        <f t="shared" si="7"/>
        <v/>
      </c>
      <c r="O20" s="109" t="s">
        <v>194</v>
      </c>
    </row>
    <row r="21" spans="1:15" ht="15" customHeight="1" x14ac:dyDescent="0.25">
      <c r="A21" s="112">
        <v>18</v>
      </c>
      <c r="B21" s="113" t="s">
        <v>78</v>
      </c>
      <c r="C21" s="112" t="s">
        <v>153</v>
      </c>
      <c r="D21" s="112" t="s">
        <v>195</v>
      </c>
      <c r="E21" s="112" t="s">
        <v>171</v>
      </c>
      <c r="F21" s="112" t="s">
        <v>196</v>
      </c>
      <c r="G21" s="112"/>
      <c r="H21" s="112" t="str">
        <f t="shared" si="4"/>
        <v/>
      </c>
      <c r="I21" s="112" t="str">
        <f t="shared" si="5"/>
        <v>In Progress</v>
      </c>
      <c r="J21" s="112" t="s">
        <v>197</v>
      </c>
      <c r="K21" s="112" t="s">
        <v>120</v>
      </c>
      <c r="L21" s="112" t="s">
        <v>143</v>
      </c>
      <c r="M21" s="112" t="str">
        <f t="shared" si="6"/>
        <v/>
      </c>
      <c r="N21" s="114" t="str">
        <f t="shared" si="7"/>
        <v/>
      </c>
      <c r="O21" s="112" t="s">
        <v>108</v>
      </c>
    </row>
    <row r="22" spans="1:15" ht="15" customHeight="1" x14ac:dyDescent="0.25">
      <c r="A22" s="109">
        <v>19</v>
      </c>
      <c r="B22" s="110" t="s">
        <v>80</v>
      </c>
      <c r="C22" s="109" t="s">
        <v>198</v>
      </c>
      <c r="D22" s="109" t="s">
        <v>199</v>
      </c>
      <c r="E22" s="109" t="s">
        <v>123</v>
      </c>
      <c r="F22" s="109" t="s">
        <v>200</v>
      </c>
      <c r="G22" s="109"/>
      <c r="H22" s="109" t="str">
        <f t="shared" si="4"/>
        <v/>
      </c>
      <c r="I22" s="109" t="str">
        <f t="shared" si="5"/>
        <v>Not Started</v>
      </c>
      <c r="J22" s="109" t="s">
        <v>125</v>
      </c>
      <c r="K22" s="109" t="s">
        <v>126</v>
      </c>
      <c r="L22" s="109" t="s">
        <v>115</v>
      </c>
      <c r="M22" s="109" t="str">
        <f t="shared" si="6"/>
        <v/>
      </c>
      <c r="N22" s="111" t="str">
        <f t="shared" si="7"/>
        <v/>
      </c>
      <c r="O22" s="109" t="s">
        <v>186</v>
      </c>
    </row>
    <row r="23" spans="1:15" ht="15" customHeight="1" x14ac:dyDescent="0.25">
      <c r="A23" s="112">
        <v>20</v>
      </c>
      <c r="B23" s="113" t="s">
        <v>83</v>
      </c>
      <c r="C23" s="112" t="s">
        <v>86</v>
      </c>
      <c r="D23" s="112" t="s">
        <v>201</v>
      </c>
      <c r="E23" s="112" t="s">
        <v>129</v>
      </c>
      <c r="F23" s="112" t="s">
        <v>202</v>
      </c>
      <c r="G23" s="112"/>
      <c r="H23" s="112" t="str">
        <f t="shared" si="4"/>
        <v/>
      </c>
      <c r="I23" s="112" t="str">
        <f t="shared" si="5"/>
        <v>Completed</v>
      </c>
      <c r="J23" s="112" t="s">
        <v>113</v>
      </c>
      <c r="K23" s="112" t="s">
        <v>158</v>
      </c>
      <c r="L23" s="112" t="s">
        <v>127</v>
      </c>
      <c r="M23" s="112" t="str">
        <f t="shared" si="6"/>
        <v/>
      </c>
      <c r="N23" s="114" t="str">
        <f t="shared" si="7"/>
        <v/>
      </c>
      <c r="O23" s="112" t="s">
        <v>175</v>
      </c>
    </row>
    <row r="24" spans="1:15" ht="15" customHeight="1" x14ac:dyDescent="0.25">
      <c r="A24" s="109">
        <v>21</v>
      </c>
      <c r="B24" s="110" t="s">
        <v>52</v>
      </c>
      <c r="C24" s="109" t="s">
        <v>203</v>
      </c>
      <c r="D24" s="109" t="s">
        <v>204</v>
      </c>
      <c r="E24" s="109" t="s">
        <v>205</v>
      </c>
      <c r="F24" s="109" t="s">
        <v>206</v>
      </c>
      <c r="G24" s="109"/>
      <c r="H24" s="109" t="str">
        <f t="shared" si="4"/>
        <v/>
      </c>
      <c r="I24" s="109" t="str">
        <f t="shared" si="5"/>
        <v>In Progress</v>
      </c>
      <c r="J24" s="109" t="s">
        <v>119</v>
      </c>
      <c r="K24" s="109" t="s">
        <v>120</v>
      </c>
      <c r="L24" s="109" t="s">
        <v>115</v>
      </c>
      <c r="M24" s="109" t="str">
        <f t="shared" si="6"/>
        <v/>
      </c>
      <c r="N24" s="111" t="str">
        <f t="shared" si="7"/>
        <v/>
      </c>
      <c r="O24" s="109" t="s">
        <v>169</v>
      </c>
    </row>
    <row r="25" spans="1:15" ht="15" customHeight="1" x14ac:dyDescent="0.25">
      <c r="A25" s="112">
        <v>22</v>
      </c>
      <c r="B25" s="113" t="s">
        <v>57</v>
      </c>
      <c r="C25" s="112" t="s">
        <v>133</v>
      </c>
      <c r="D25" s="112" t="s">
        <v>207</v>
      </c>
      <c r="E25" s="112" t="s">
        <v>165</v>
      </c>
      <c r="F25" s="112" t="s">
        <v>208</v>
      </c>
      <c r="G25" s="112"/>
      <c r="H25" s="112" t="str">
        <f t="shared" si="4"/>
        <v/>
      </c>
      <c r="I25" s="112" t="str">
        <f t="shared" si="5"/>
        <v>In Progress</v>
      </c>
      <c r="J25" s="112" t="s">
        <v>209</v>
      </c>
      <c r="K25" s="112" t="s">
        <v>210</v>
      </c>
      <c r="L25" s="112" t="s">
        <v>107</v>
      </c>
      <c r="M25" s="112" t="str">
        <f t="shared" si="6"/>
        <v/>
      </c>
      <c r="N25" s="114" t="str">
        <f t="shared" si="7"/>
        <v/>
      </c>
      <c r="O25" s="112" t="s">
        <v>108</v>
      </c>
    </row>
    <row r="26" spans="1:15" ht="15" customHeight="1" x14ac:dyDescent="0.25">
      <c r="A26" s="109">
        <v>23</v>
      </c>
      <c r="B26" s="110" t="s">
        <v>70</v>
      </c>
      <c r="C26" s="109" t="s">
        <v>133</v>
      </c>
      <c r="D26" s="109" t="s">
        <v>134</v>
      </c>
      <c r="E26" s="109" t="s">
        <v>135</v>
      </c>
      <c r="F26" s="109" t="s">
        <v>136</v>
      </c>
      <c r="G26" s="109"/>
      <c r="H26" s="109" t="str">
        <f t="shared" si="4"/>
        <v/>
      </c>
      <c r="I26" s="109" t="str">
        <f t="shared" si="5"/>
        <v>In Progress</v>
      </c>
      <c r="J26" s="109" t="s">
        <v>137</v>
      </c>
      <c r="K26" s="109" t="s">
        <v>126</v>
      </c>
      <c r="L26" s="109" t="s">
        <v>138</v>
      </c>
      <c r="M26" s="109" t="str">
        <f t="shared" si="6"/>
        <v/>
      </c>
      <c r="N26" s="111" t="str">
        <f t="shared" si="7"/>
        <v/>
      </c>
      <c r="O26" s="109" t="s">
        <v>139</v>
      </c>
    </row>
    <row r="27" spans="1:15" ht="15" customHeight="1" x14ac:dyDescent="0.25">
      <c r="A27" s="112">
        <v>24</v>
      </c>
      <c r="B27" s="113" t="s">
        <v>64</v>
      </c>
      <c r="C27" s="112" t="s">
        <v>121</v>
      </c>
      <c r="D27" s="112" t="s">
        <v>72</v>
      </c>
      <c r="E27" s="112" t="s">
        <v>123</v>
      </c>
      <c r="F27" s="112" t="s">
        <v>211</v>
      </c>
      <c r="G27" s="112"/>
      <c r="H27" s="112" t="str">
        <f t="shared" si="4"/>
        <v/>
      </c>
      <c r="I27" s="112" t="str">
        <f t="shared" si="5"/>
        <v>Completed</v>
      </c>
      <c r="J27" s="112" t="s">
        <v>113</v>
      </c>
      <c r="K27" s="112" t="s">
        <v>56</v>
      </c>
      <c r="L27" s="112" t="s">
        <v>143</v>
      </c>
      <c r="M27" s="112" t="str">
        <f t="shared" si="6"/>
        <v/>
      </c>
      <c r="N27" s="114" t="str">
        <f t="shared" si="7"/>
        <v/>
      </c>
      <c r="O27" s="112" t="s">
        <v>175</v>
      </c>
    </row>
    <row r="28" spans="1:15" ht="15" customHeight="1" x14ac:dyDescent="0.25">
      <c r="A28" s="109">
        <v>25</v>
      </c>
      <c r="B28" s="110" t="s">
        <v>68</v>
      </c>
      <c r="C28" s="109" t="s">
        <v>55</v>
      </c>
      <c r="D28" s="109" t="s">
        <v>212</v>
      </c>
      <c r="E28" s="109" t="s">
        <v>155</v>
      </c>
      <c r="F28" s="109" t="s">
        <v>213</v>
      </c>
      <c r="G28" s="109"/>
      <c r="H28" s="109" t="str">
        <f t="shared" si="4"/>
        <v/>
      </c>
      <c r="I28" s="109" t="str">
        <f t="shared" si="5"/>
        <v>In Progress</v>
      </c>
      <c r="J28" s="109" t="s">
        <v>214</v>
      </c>
      <c r="K28" s="109" t="s">
        <v>126</v>
      </c>
      <c r="L28" s="109" t="s">
        <v>150</v>
      </c>
      <c r="M28" s="109" t="str">
        <f t="shared" si="6"/>
        <v/>
      </c>
      <c r="N28" s="111" t="str">
        <f t="shared" si="7"/>
        <v/>
      </c>
      <c r="O28" s="109" t="s">
        <v>194</v>
      </c>
    </row>
    <row r="29" spans="1:15" ht="15" customHeight="1" x14ac:dyDescent="0.25">
      <c r="A29" s="112">
        <v>26</v>
      </c>
      <c r="B29" s="113" t="s">
        <v>70</v>
      </c>
      <c r="C29" s="112" t="s">
        <v>133</v>
      </c>
      <c r="D29" s="112" t="s">
        <v>215</v>
      </c>
      <c r="E29" s="112" t="s">
        <v>103</v>
      </c>
      <c r="F29" s="112" t="s">
        <v>216</v>
      </c>
      <c r="G29" s="112"/>
      <c r="H29" s="112" t="str">
        <f t="shared" si="4"/>
        <v/>
      </c>
      <c r="I29" s="112" t="str">
        <f t="shared" si="5"/>
        <v>Not Started</v>
      </c>
      <c r="J29" s="112" t="s">
        <v>217</v>
      </c>
      <c r="K29" s="112" t="s">
        <v>174</v>
      </c>
      <c r="L29" s="112" t="s">
        <v>143</v>
      </c>
      <c r="M29" s="112" t="str">
        <f t="shared" si="6"/>
        <v/>
      </c>
      <c r="N29" s="114" t="str">
        <f t="shared" si="7"/>
        <v/>
      </c>
      <c r="O29" s="112" t="s">
        <v>139</v>
      </c>
    </row>
    <row r="30" spans="1:15" ht="15" customHeight="1" x14ac:dyDescent="0.25">
      <c r="A30" s="109">
        <v>27</v>
      </c>
      <c r="B30" s="110" t="s">
        <v>74</v>
      </c>
      <c r="C30" s="109" t="s">
        <v>218</v>
      </c>
      <c r="D30" s="109" t="s">
        <v>154</v>
      </c>
      <c r="E30" s="109" t="s">
        <v>165</v>
      </c>
      <c r="F30" s="109" t="s">
        <v>219</v>
      </c>
      <c r="G30" s="109"/>
      <c r="H30" s="109" t="str">
        <f t="shared" si="4"/>
        <v/>
      </c>
      <c r="I30" s="109" t="str">
        <f t="shared" si="5"/>
        <v>Completed</v>
      </c>
      <c r="J30" s="109" t="s">
        <v>173</v>
      </c>
      <c r="K30" s="109" t="s">
        <v>120</v>
      </c>
      <c r="L30" s="109" t="s">
        <v>115</v>
      </c>
      <c r="M30" s="109" t="str">
        <f t="shared" si="6"/>
        <v/>
      </c>
      <c r="N30" s="111" t="str">
        <f t="shared" si="7"/>
        <v/>
      </c>
      <c r="O30" s="109" t="s">
        <v>139</v>
      </c>
    </row>
    <row r="31" spans="1:15" ht="15" customHeight="1" x14ac:dyDescent="0.25">
      <c r="A31" s="112">
        <v>28</v>
      </c>
      <c r="B31" s="113" t="s">
        <v>78</v>
      </c>
      <c r="C31" s="112" t="s">
        <v>220</v>
      </c>
      <c r="D31" s="112" t="s">
        <v>221</v>
      </c>
      <c r="E31" s="112" t="s">
        <v>117</v>
      </c>
      <c r="F31" s="112" t="s">
        <v>112</v>
      </c>
      <c r="G31" s="112"/>
      <c r="H31" s="112" t="str">
        <f t="shared" si="4"/>
        <v/>
      </c>
      <c r="I31" s="112" t="str">
        <f t="shared" si="5"/>
        <v>Completed</v>
      </c>
      <c r="J31" s="112" t="s">
        <v>222</v>
      </c>
      <c r="K31" s="112" t="s">
        <v>106</v>
      </c>
      <c r="L31" s="112" t="s">
        <v>127</v>
      </c>
      <c r="M31" s="112" t="str">
        <f t="shared" si="6"/>
        <v/>
      </c>
      <c r="N31" s="114" t="str">
        <f t="shared" si="7"/>
        <v/>
      </c>
      <c r="O31" s="112" t="s">
        <v>223</v>
      </c>
    </row>
    <row r="32" spans="1:15" ht="15" customHeight="1" x14ac:dyDescent="0.25">
      <c r="A32" s="109">
        <v>29</v>
      </c>
      <c r="B32" s="110" t="s">
        <v>80</v>
      </c>
      <c r="C32" s="109" t="s">
        <v>55</v>
      </c>
      <c r="D32" s="109" t="s">
        <v>176</v>
      </c>
      <c r="E32" s="109" t="s">
        <v>146</v>
      </c>
      <c r="F32" s="109" t="s">
        <v>224</v>
      </c>
      <c r="G32" s="109"/>
      <c r="H32" s="109" t="str">
        <f t="shared" si="4"/>
        <v/>
      </c>
      <c r="I32" s="109" t="str">
        <f t="shared" si="5"/>
        <v>In Progress</v>
      </c>
      <c r="J32" s="109" t="s">
        <v>157</v>
      </c>
      <c r="K32" s="109" t="s">
        <v>63</v>
      </c>
      <c r="L32" s="109" t="s">
        <v>138</v>
      </c>
      <c r="M32" s="109" t="str">
        <f t="shared" si="6"/>
        <v/>
      </c>
      <c r="N32" s="111" t="str">
        <f t="shared" si="7"/>
        <v/>
      </c>
      <c r="O32" s="109" t="s">
        <v>194</v>
      </c>
    </row>
    <row r="33" spans="1:15" ht="15" customHeight="1" x14ac:dyDescent="0.25">
      <c r="A33" s="112">
        <v>30</v>
      </c>
      <c r="B33" s="113" t="s">
        <v>83</v>
      </c>
      <c r="C33" s="112" t="s">
        <v>133</v>
      </c>
      <c r="D33" s="112" t="s">
        <v>176</v>
      </c>
      <c r="E33" s="112" t="s">
        <v>155</v>
      </c>
      <c r="F33" s="112" t="s">
        <v>225</v>
      </c>
      <c r="G33" s="112"/>
      <c r="H33" s="112" t="str">
        <f t="shared" si="4"/>
        <v/>
      </c>
      <c r="I33" s="112" t="str">
        <f t="shared" si="5"/>
        <v>In Progress</v>
      </c>
      <c r="J33" s="112" t="s">
        <v>226</v>
      </c>
      <c r="K33" s="112" t="s">
        <v>126</v>
      </c>
      <c r="L33" s="112" t="s">
        <v>107</v>
      </c>
      <c r="M33" s="112" t="str">
        <f t="shared" si="6"/>
        <v/>
      </c>
      <c r="N33" s="114" t="str">
        <f t="shared" si="7"/>
        <v/>
      </c>
      <c r="O33" s="112" t="s">
        <v>169</v>
      </c>
    </row>
    <row r="34" spans="1:15" ht="15" customHeight="1" x14ac:dyDescent="0.25">
      <c r="A34" s="109">
        <v>31</v>
      </c>
      <c r="B34" s="110" t="s">
        <v>52</v>
      </c>
      <c r="C34" s="109" t="s">
        <v>77</v>
      </c>
      <c r="D34" s="109" t="s">
        <v>176</v>
      </c>
      <c r="E34" s="109" t="s">
        <v>205</v>
      </c>
      <c r="F34" s="109" t="s">
        <v>227</v>
      </c>
      <c r="G34" s="109"/>
      <c r="H34" s="109" t="str">
        <f t="shared" si="4"/>
        <v/>
      </c>
      <c r="I34" s="109" t="str">
        <f t="shared" si="5"/>
        <v>Completed</v>
      </c>
      <c r="J34" s="109" t="s">
        <v>222</v>
      </c>
      <c r="K34" s="109" t="s">
        <v>174</v>
      </c>
      <c r="L34" s="109" t="s">
        <v>132</v>
      </c>
      <c r="M34" s="109" t="str">
        <f t="shared" si="6"/>
        <v/>
      </c>
      <c r="N34" s="111" t="str">
        <f t="shared" si="7"/>
        <v/>
      </c>
      <c r="O34" s="109" t="s">
        <v>223</v>
      </c>
    </row>
    <row r="35" spans="1:15" ht="15" customHeight="1" x14ac:dyDescent="0.25">
      <c r="A35" s="112">
        <v>32</v>
      </c>
      <c r="B35" s="113" t="s">
        <v>57</v>
      </c>
      <c r="C35" s="112" t="s">
        <v>220</v>
      </c>
      <c r="D35" s="112" t="s">
        <v>228</v>
      </c>
      <c r="E35" s="112" t="s">
        <v>191</v>
      </c>
      <c r="F35" s="112" t="s">
        <v>166</v>
      </c>
      <c r="G35" s="112"/>
      <c r="H35" s="112" t="str">
        <f t="shared" si="4"/>
        <v/>
      </c>
      <c r="I35" s="112" t="str">
        <f t="shared" si="5"/>
        <v>Completed</v>
      </c>
      <c r="J35" s="112" t="s">
        <v>173</v>
      </c>
      <c r="K35" s="112" t="s">
        <v>56</v>
      </c>
      <c r="L35" s="112" t="s">
        <v>143</v>
      </c>
      <c r="M35" s="112" t="str">
        <f t="shared" si="6"/>
        <v/>
      </c>
      <c r="N35" s="114" t="str">
        <f t="shared" si="7"/>
        <v/>
      </c>
      <c r="O35" s="112" t="s">
        <v>169</v>
      </c>
    </row>
    <row r="36" spans="1:15" ht="15" customHeight="1" x14ac:dyDescent="0.25">
      <c r="A36" s="109">
        <v>33</v>
      </c>
      <c r="B36" s="110" t="s">
        <v>60</v>
      </c>
      <c r="C36" s="109" t="s">
        <v>101</v>
      </c>
      <c r="D36" s="109" t="s">
        <v>229</v>
      </c>
      <c r="E36" s="109" t="s">
        <v>230</v>
      </c>
      <c r="F36" s="109" t="s">
        <v>231</v>
      </c>
      <c r="G36" s="109"/>
      <c r="H36" s="109" t="str">
        <f t="shared" si="4"/>
        <v/>
      </c>
      <c r="I36" s="109" t="str">
        <f t="shared" si="5"/>
        <v>In Progress</v>
      </c>
      <c r="J36" s="109" t="s">
        <v>185</v>
      </c>
      <c r="K36" s="109" t="s">
        <v>126</v>
      </c>
      <c r="L36" s="109" t="s">
        <v>138</v>
      </c>
      <c r="M36" s="109" t="str">
        <f t="shared" si="6"/>
        <v/>
      </c>
      <c r="N36" s="111" t="str">
        <f t="shared" si="7"/>
        <v/>
      </c>
      <c r="O36" s="109" t="s">
        <v>139</v>
      </c>
    </row>
    <row r="37" spans="1:15" ht="15" customHeight="1" x14ac:dyDescent="0.25">
      <c r="A37" s="112">
        <v>34</v>
      </c>
      <c r="B37" s="113" t="s">
        <v>64</v>
      </c>
      <c r="C37" s="112" t="s">
        <v>133</v>
      </c>
      <c r="D37" s="112" t="s">
        <v>201</v>
      </c>
      <c r="E37" s="112" t="s">
        <v>123</v>
      </c>
      <c r="F37" s="112" t="s">
        <v>232</v>
      </c>
      <c r="G37" s="112"/>
      <c r="H37" s="112" t="str">
        <f t="shared" si="4"/>
        <v/>
      </c>
      <c r="I37" s="112" t="str">
        <f t="shared" si="5"/>
        <v>Completed</v>
      </c>
      <c r="J37" s="112" t="s">
        <v>113</v>
      </c>
      <c r="K37" s="112" t="s">
        <v>126</v>
      </c>
      <c r="L37" s="112" t="s">
        <v>127</v>
      </c>
      <c r="M37" s="112" t="str">
        <f t="shared" si="6"/>
        <v/>
      </c>
      <c r="N37" s="114" t="str">
        <f t="shared" si="7"/>
        <v/>
      </c>
      <c r="O37" s="112" t="s">
        <v>108</v>
      </c>
    </row>
    <row r="38" spans="1:15" ht="15" customHeight="1" x14ac:dyDescent="0.25">
      <c r="A38" s="109">
        <v>35</v>
      </c>
      <c r="B38" s="110" t="s">
        <v>68</v>
      </c>
      <c r="C38" s="109" t="s">
        <v>182</v>
      </c>
      <c r="D38" s="109" t="s">
        <v>122</v>
      </c>
      <c r="E38" s="109" t="s">
        <v>129</v>
      </c>
      <c r="F38" s="109" t="s">
        <v>233</v>
      </c>
      <c r="G38" s="109"/>
      <c r="H38" s="109" t="str">
        <f t="shared" si="4"/>
        <v/>
      </c>
      <c r="I38" s="109" t="str">
        <f t="shared" si="5"/>
        <v>In Progress</v>
      </c>
      <c r="J38" s="109" t="s">
        <v>214</v>
      </c>
      <c r="K38" s="109" t="s">
        <v>63</v>
      </c>
      <c r="L38" s="109" t="s">
        <v>127</v>
      </c>
      <c r="M38" s="109" t="str">
        <f t="shared" si="6"/>
        <v/>
      </c>
      <c r="N38" s="111" t="str">
        <f t="shared" si="7"/>
        <v/>
      </c>
      <c r="O38" s="109" t="s">
        <v>108</v>
      </c>
    </row>
    <row r="39" spans="1:15" ht="15" customHeight="1" x14ac:dyDescent="0.25">
      <c r="A39" s="112">
        <v>36</v>
      </c>
      <c r="B39" s="113" t="s">
        <v>70</v>
      </c>
      <c r="C39" s="112" t="s">
        <v>121</v>
      </c>
      <c r="D39" s="112" t="s">
        <v>204</v>
      </c>
      <c r="E39" s="112" t="s">
        <v>103</v>
      </c>
      <c r="F39" s="112" t="s">
        <v>234</v>
      </c>
      <c r="G39" s="112"/>
      <c r="H39" s="112" t="str">
        <f t="shared" si="4"/>
        <v/>
      </c>
      <c r="I39" s="112" t="str">
        <f t="shared" si="5"/>
        <v>In Progress</v>
      </c>
      <c r="J39" s="112" t="s">
        <v>235</v>
      </c>
      <c r="K39" s="112" t="s">
        <v>158</v>
      </c>
      <c r="L39" s="112" t="s">
        <v>138</v>
      </c>
      <c r="M39" s="112" t="str">
        <f t="shared" si="6"/>
        <v/>
      </c>
      <c r="N39" s="114" t="str">
        <f t="shared" si="7"/>
        <v/>
      </c>
      <c r="O39" s="112" t="s">
        <v>223</v>
      </c>
    </row>
    <row r="40" spans="1:15" ht="15" customHeight="1" x14ac:dyDescent="0.25">
      <c r="A40" s="109">
        <v>37</v>
      </c>
      <c r="B40" s="110" t="s">
        <v>74</v>
      </c>
      <c r="C40" s="109" t="s">
        <v>203</v>
      </c>
      <c r="D40" s="109" t="s">
        <v>207</v>
      </c>
      <c r="E40" s="109" t="s">
        <v>111</v>
      </c>
      <c r="F40" s="109" t="s">
        <v>236</v>
      </c>
      <c r="G40" s="109"/>
      <c r="H40" s="109" t="str">
        <f t="shared" si="4"/>
        <v/>
      </c>
      <c r="I40" s="109" t="str">
        <f t="shared" si="5"/>
        <v>Not Started</v>
      </c>
      <c r="J40" s="109" t="s">
        <v>179</v>
      </c>
      <c r="K40" s="109" t="s">
        <v>63</v>
      </c>
      <c r="L40" s="109" t="s">
        <v>138</v>
      </c>
      <c r="M40" s="109" t="str">
        <f t="shared" si="6"/>
        <v/>
      </c>
      <c r="N40" s="111" t="str">
        <f t="shared" si="7"/>
        <v/>
      </c>
      <c r="O40" s="109" t="s">
        <v>139</v>
      </c>
    </row>
    <row r="41" spans="1:15" ht="15" customHeight="1" x14ac:dyDescent="0.25">
      <c r="A41" s="112">
        <v>38</v>
      </c>
      <c r="B41" s="113" t="s">
        <v>78</v>
      </c>
      <c r="C41" s="112" t="s">
        <v>153</v>
      </c>
      <c r="D41" s="112" t="s">
        <v>237</v>
      </c>
      <c r="E41" s="112" t="s">
        <v>117</v>
      </c>
      <c r="F41" s="112" t="s">
        <v>238</v>
      </c>
      <c r="G41" s="112"/>
      <c r="H41" s="112" t="str">
        <f t="shared" si="4"/>
        <v/>
      </c>
      <c r="I41" s="112" t="str">
        <f t="shared" si="5"/>
        <v>In Progress</v>
      </c>
      <c r="J41" s="112" t="s">
        <v>148</v>
      </c>
      <c r="K41" s="112" t="s">
        <v>149</v>
      </c>
      <c r="L41" s="112" t="s">
        <v>107</v>
      </c>
      <c r="M41" s="112" t="str">
        <f t="shared" si="6"/>
        <v/>
      </c>
      <c r="N41" s="114" t="str">
        <f t="shared" si="7"/>
        <v/>
      </c>
      <c r="O41" s="112" t="s">
        <v>239</v>
      </c>
    </row>
    <row r="42" spans="1:15" ht="15" customHeight="1" x14ac:dyDescent="0.25">
      <c r="A42" s="109">
        <v>39</v>
      </c>
      <c r="B42" s="110" t="s">
        <v>80</v>
      </c>
      <c r="C42" s="109" t="s">
        <v>182</v>
      </c>
      <c r="D42" s="109" t="s">
        <v>240</v>
      </c>
      <c r="E42" s="109" t="s">
        <v>123</v>
      </c>
      <c r="F42" s="109" t="s">
        <v>241</v>
      </c>
      <c r="G42" s="109"/>
      <c r="H42" s="109" t="str">
        <f t="shared" si="4"/>
        <v/>
      </c>
      <c r="I42" s="109" t="str">
        <f t="shared" si="5"/>
        <v>In Progress</v>
      </c>
      <c r="J42" s="109" t="s">
        <v>242</v>
      </c>
      <c r="K42" s="109" t="s">
        <v>149</v>
      </c>
      <c r="L42" s="109" t="s">
        <v>138</v>
      </c>
      <c r="M42" s="109" t="str">
        <f t="shared" si="6"/>
        <v/>
      </c>
      <c r="N42" s="111" t="str">
        <f t="shared" si="7"/>
        <v/>
      </c>
      <c r="O42" s="109" t="s">
        <v>108</v>
      </c>
    </row>
    <row r="43" spans="1:15" ht="15" customHeight="1" x14ac:dyDescent="0.25">
      <c r="A43" s="112">
        <v>40</v>
      </c>
      <c r="B43" s="113" t="s">
        <v>83</v>
      </c>
      <c r="C43" s="112" t="s">
        <v>163</v>
      </c>
      <c r="D43" s="112" t="s">
        <v>140</v>
      </c>
      <c r="E43" s="112" t="s">
        <v>129</v>
      </c>
      <c r="F43" s="112" t="s">
        <v>243</v>
      </c>
      <c r="G43" s="112"/>
      <c r="H43" s="112" t="str">
        <f t="shared" si="4"/>
        <v/>
      </c>
      <c r="I43" s="112" t="str">
        <f t="shared" si="5"/>
        <v>In Progress</v>
      </c>
      <c r="J43" s="112" t="s">
        <v>119</v>
      </c>
      <c r="K43" s="112" t="s">
        <v>174</v>
      </c>
      <c r="L43" s="112" t="s">
        <v>115</v>
      </c>
      <c r="M43" s="112" t="str">
        <f t="shared" si="6"/>
        <v/>
      </c>
      <c r="N43" s="114" t="str">
        <f t="shared" si="7"/>
        <v/>
      </c>
      <c r="O43" s="112" t="s">
        <v>139</v>
      </c>
    </row>
    <row r="44" spans="1:15" ht="15" customHeight="1" x14ac:dyDescent="0.25">
      <c r="A44" s="109">
        <v>41</v>
      </c>
      <c r="B44" s="110" t="s">
        <v>52</v>
      </c>
      <c r="C44" s="109" t="s">
        <v>203</v>
      </c>
      <c r="D44" s="109" t="s">
        <v>244</v>
      </c>
      <c r="E44" s="109" t="s">
        <v>103</v>
      </c>
      <c r="F44" s="109" t="s">
        <v>245</v>
      </c>
      <c r="G44" s="109"/>
      <c r="H44" s="109" t="str">
        <f t="shared" si="4"/>
        <v/>
      </c>
      <c r="I44" s="109" t="str">
        <f t="shared" si="5"/>
        <v>In Progress</v>
      </c>
      <c r="J44" s="109" t="s">
        <v>246</v>
      </c>
      <c r="K44" s="109" t="s">
        <v>126</v>
      </c>
      <c r="L44" s="109" t="s">
        <v>127</v>
      </c>
      <c r="M44" s="109" t="str">
        <f t="shared" si="6"/>
        <v/>
      </c>
      <c r="N44" s="111" t="str">
        <f t="shared" si="7"/>
        <v/>
      </c>
      <c r="O44" s="109" t="s">
        <v>108</v>
      </c>
    </row>
    <row r="45" spans="1:15" ht="15" customHeight="1" x14ac:dyDescent="0.25">
      <c r="A45" s="112">
        <v>42</v>
      </c>
      <c r="B45" s="113" t="s">
        <v>57</v>
      </c>
      <c r="C45" s="112" t="s">
        <v>109</v>
      </c>
      <c r="D45" s="112" t="s">
        <v>164</v>
      </c>
      <c r="E45" s="112" t="s">
        <v>191</v>
      </c>
      <c r="F45" s="112" t="s">
        <v>247</v>
      </c>
      <c r="G45" s="112"/>
      <c r="H45" s="112" t="str">
        <f t="shared" si="4"/>
        <v/>
      </c>
      <c r="I45" s="112" t="str">
        <f t="shared" si="5"/>
        <v>In Progress</v>
      </c>
      <c r="J45" s="112" t="s">
        <v>161</v>
      </c>
      <c r="K45" s="112" t="s">
        <v>114</v>
      </c>
      <c r="L45" s="112" t="s">
        <v>132</v>
      </c>
      <c r="M45" s="112" t="str">
        <f t="shared" si="6"/>
        <v/>
      </c>
      <c r="N45" s="114" t="str">
        <f t="shared" si="7"/>
        <v/>
      </c>
      <c r="O45" s="112" t="s">
        <v>239</v>
      </c>
    </row>
    <row r="46" spans="1:15" ht="15" customHeight="1" x14ac:dyDescent="0.25">
      <c r="A46" s="109">
        <v>43</v>
      </c>
      <c r="B46" s="110" t="s">
        <v>60</v>
      </c>
      <c r="C46" s="109" t="s">
        <v>182</v>
      </c>
      <c r="D46" s="109" t="s">
        <v>248</v>
      </c>
      <c r="E46" s="109" t="s">
        <v>171</v>
      </c>
      <c r="F46" s="109" t="s">
        <v>249</v>
      </c>
      <c r="G46" s="109"/>
      <c r="H46" s="109" t="str">
        <f t="shared" si="4"/>
        <v/>
      </c>
      <c r="I46" s="109" t="str">
        <f t="shared" si="5"/>
        <v>In Progress</v>
      </c>
      <c r="J46" s="109" t="s">
        <v>250</v>
      </c>
      <c r="K46" s="109" t="s">
        <v>63</v>
      </c>
      <c r="L46" s="109" t="s">
        <v>107</v>
      </c>
      <c r="M46" s="109" t="str">
        <f t="shared" si="6"/>
        <v/>
      </c>
      <c r="N46" s="111" t="str">
        <f t="shared" si="7"/>
        <v/>
      </c>
      <c r="O46" s="109" t="s">
        <v>108</v>
      </c>
    </row>
    <row r="47" spans="1:15" ht="15" customHeight="1" x14ac:dyDescent="0.25">
      <c r="A47" s="112">
        <v>44</v>
      </c>
      <c r="B47" s="113" t="s">
        <v>64</v>
      </c>
      <c r="C47" s="112" t="s">
        <v>163</v>
      </c>
      <c r="D47" s="112" t="s">
        <v>251</v>
      </c>
      <c r="E47" s="112" t="s">
        <v>252</v>
      </c>
      <c r="F47" s="112" t="s">
        <v>253</v>
      </c>
      <c r="G47" s="112"/>
      <c r="H47" s="112" t="str">
        <f t="shared" si="4"/>
        <v/>
      </c>
      <c r="I47" s="112" t="str">
        <f t="shared" si="5"/>
        <v>Not Started</v>
      </c>
      <c r="J47" s="112" t="s">
        <v>125</v>
      </c>
      <c r="K47" s="112" t="s">
        <v>114</v>
      </c>
      <c r="L47" s="112" t="s">
        <v>143</v>
      </c>
      <c r="M47" s="112" t="str">
        <f t="shared" si="6"/>
        <v/>
      </c>
      <c r="N47" s="114" t="str">
        <f t="shared" si="7"/>
        <v/>
      </c>
      <c r="O47" s="112" t="s">
        <v>175</v>
      </c>
    </row>
    <row r="48" spans="1:15" ht="15" customHeight="1" x14ac:dyDescent="0.25">
      <c r="A48" s="109">
        <v>45</v>
      </c>
      <c r="B48" s="110" t="s">
        <v>68</v>
      </c>
      <c r="C48" s="109" t="s">
        <v>101</v>
      </c>
      <c r="D48" s="109" t="s">
        <v>190</v>
      </c>
      <c r="E48" s="109" t="s">
        <v>155</v>
      </c>
      <c r="F48" s="109" t="s">
        <v>254</v>
      </c>
      <c r="G48" s="109"/>
      <c r="H48" s="109" t="str">
        <f t="shared" si="4"/>
        <v/>
      </c>
      <c r="I48" s="109" t="str">
        <f t="shared" si="5"/>
        <v>Completed</v>
      </c>
      <c r="J48" s="109" t="s">
        <v>222</v>
      </c>
      <c r="K48" s="109" t="s">
        <v>106</v>
      </c>
      <c r="L48" s="109" t="s">
        <v>115</v>
      </c>
      <c r="M48" s="109" t="str">
        <f t="shared" si="6"/>
        <v/>
      </c>
      <c r="N48" s="111" t="str">
        <f t="shared" si="7"/>
        <v/>
      </c>
      <c r="O48" s="109" t="s">
        <v>151</v>
      </c>
    </row>
    <row r="49" spans="1:15" ht="15" customHeight="1" x14ac:dyDescent="0.25">
      <c r="A49" s="112">
        <v>46</v>
      </c>
      <c r="B49" s="113" t="s">
        <v>70</v>
      </c>
      <c r="C49" s="112" t="s">
        <v>67</v>
      </c>
      <c r="D49" s="112" t="s">
        <v>195</v>
      </c>
      <c r="E49" s="112" t="s">
        <v>103</v>
      </c>
      <c r="F49" s="112" t="s">
        <v>255</v>
      </c>
      <c r="G49" s="112"/>
      <c r="H49" s="112" t="str">
        <f t="shared" si="4"/>
        <v/>
      </c>
      <c r="I49" s="112" t="str">
        <f t="shared" si="5"/>
        <v>In Progress</v>
      </c>
      <c r="J49" s="112" t="s">
        <v>185</v>
      </c>
      <c r="K49" s="112" t="s">
        <v>114</v>
      </c>
      <c r="L49" s="112" t="s">
        <v>127</v>
      </c>
      <c r="M49" s="112" t="str">
        <f t="shared" si="6"/>
        <v/>
      </c>
      <c r="N49" s="114" t="str">
        <f t="shared" si="7"/>
        <v/>
      </c>
      <c r="O49" s="112" t="s">
        <v>239</v>
      </c>
    </row>
    <row r="50" spans="1:15" ht="15" customHeight="1" x14ac:dyDescent="0.25">
      <c r="A50" s="109">
        <v>47</v>
      </c>
      <c r="B50" s="110" t="s">
        <v>74</v>
      </c>
      <c r="C50" s="109" t="s">
        <v>182</v>
      </c>
      <c r="D50" s="109" t="s">
        <v>183</v>
      </c>
      <c r="E50" s="109" t="s">
        <v>165</v>
      </c>
      <c r="F50" s="109" t="s">
        <v>118</v>
      </c>
      <c r="G50" s="109"/>
      <c r="H50" s="109" t="str">
        <f t="shared" ref="H50:H81" si="8">IF(OR(F50="",G50=""),"",G50-F50)</f>
        <v/>
      </c>
      <c r="I50" s="109" t="str">
        <f t="shared" ref="I50:I81" si="9">IFERROR(IF(VALUE(SUBSTITUTE(SUBSTITUTE(J50,"%","")," ",""))&lt;=0,"Not Started",IF(VALUE(SUBSTITUTE(SUBSTITUTE(J50,"%","")," ",""))&gt;=100,"Completed","In Progress")),"Not Started")</f>
        <v>Completed</v>
      </c>
      <c r="J50" s="109" t="s">
        <v>113</v>
      </c>
      <c r="K50" s="109" t="s">
        <v>158</v>
      </c>
      <c r="L50" s="109" t="s">
        <v>138</v>
      </c>
      <c r="M50" s="109" t="str">
        <f t="shared" ref="M50:M81" si="10">IF(H50="","",H50*8)</f>
        <v/>
      </c>
      <c r="N50" s="111" t="str">
        <f t="shared" ref="N50:N81" si="11">IF(OR(L50="",H50=""),"",L50*H50)</f>
        <v/>
      </c>
      <c r="O50" s="109" t="s">
        <v>139</v>
      </c>
    </row>
    <row r="51" spans="1:15" ht="15" customHeight="1" x14ac:dyDescent="0.25">
      <c r="A51" s="112">
        <v>48</v>
      </c>
      <c r="B51" s="113" t="s">
        <v>78</v>
      </c>
      <c r="C51" s="112" t="s">
        <v>163</v>
      </c>
      <c r="D51" s="112" t="s">
        <v>116</v>
      </c>
      <c r="E51" s="112" t="s">
        <v>230</v>
      </c>
      <c r="F51" s="112" t="s">
        <v>256</v>
      </c>
      <c r="G51" s="112"/>
      <c r="H51" s="112" t="str">
        <f t="shared" si="8"/>
        <v/>
      </c>
      <c r="I51" s="112" t="str">
        <f t="shared" si="9"/>
        <v>In Progress</v>
      </c>
      <c r="J51" s="112" t="s">
        <v>137</v>
      </c>
      <c r="K51" s="112" t="s">
        <v>158</v>
      </c>
      <c r="L51" s="112" t="s">
        <v>150</v>
      </c>
      <c r="M51" s="112" t="str">
        <f t="shared" si="10"/>
        <v/>
      </c>
      <c r="N51" s="114" t="str">
        <f t="shared" si="11"/>
        <v/>
      </c>
      <c r="O51" s="112" t="s">
        <v>162</v>
      </c>
    </row>
    <row r="52" spans="1:15" ht="15" customHeight="1" x14ac:dyDescent="0.25">
      <c r="A52" s="109">
        <v>49</v>
      </c>
      <c r="B52" s="110" t="s">
        <v>80</v>
      </c>
      <c r="C52" s="109" t="s">
        <v>101</v>
      </c>
      <c r="D52" s="109" t="s">
        <v>257</v>
      </c>
      <c r="E52" s="109" t="s">
        <v>123</v>
      </c>
      <c r="F52" s="109" t="s">
        <v>258</v>
      </c>
      <c r="G52" s="109"/>
      <c r="H52" s="109" t="str">
        <f t="shared" si="8"/>
        <v/>
      </c>
      <c r="I52" s="109" t="str">
        <f t="shared" si="9"/>
        <v>In Progress</v>
      </c>
      <c r="J52" s="109" t="s">
        <v>185</v>
      </c>
      <c r="K52" s="109" t="s">
        <v>174</v>
      </c>
      <c r="L52" s="109" t="s">
        <v>132</v>
      </c>
      <c r="M52" s="109" t="str">
        <f t="shared" si="10"/>
        <v/>
      </c>
      <c r="N52" s="111" t="str">
        <f t="shared" si="11"/>
        <v/>
      </c>
      <c r="O52" s="109" t="s">
        <v>139</v>
      </c>
    </row>
    <row r="53" spans="1:15" ht="15" customHeight="1" x14ac:dyDescent="0.25">
      <c r="A53" s="112">
        <v>50</v>
      </c>
      <c r="B53" s="113" t="s">
        <v>83</v>
      </c>
      <c r="C53" s="112" t="s">
        <v>133</v>
      </c>
      <c r="D53" s="112" t="s">
        <v>259</v>
      </c>
      <c r="E53" s="112" t="s">
        <v>129</v>
      </c>
      <c r="F53" s="112" t="s">
        <v>245</v>
      </c>
      <c r="G53" s="112"/>
      <c r="H53" s="112" t="str">
        <f t="shared" si="8"/>
        <v/>
      </c>
      <c r="I53" s="112" t="str">
        <f t="shared" si="9"/>
        <v>In Progress</v>
      </c>
      <c r="J53" s="112" t="s">
        <v>157</v>
      </c>
      <c r="K53" s="112" t="s">
        <v>120</v>
      </c>
      <c r="L53" s="112" t="s">
        <v>127</v>
      </c>
      <c r="M53" s="112" t="str">
        <f t="shared" si="10"/>
        <v/>
      </c>
      <c r="N53" s="114" t="str">
        <f t="shared" si="11"/>
        <v/>
      </c>
      <c r="O53" s="112" t="s">
        <v>239</v>
      </c>
    </row>
    <row r="54" spans="1:15" ht="15" customHeight="1" x14ac:dyDescent="0.25">
      <c r="A54" s="109">
        <v>51</v>
      </c>
      <c r="B54" s="110" t="s">
        <v>52</v>
      </c>
      <c r="C54" s="109" t="s">
        <v>198</v>
      </c>
      <c r="D54" s="109" t="s">
        <v>128</v>
      </c>
      <c r="E54" s="109" t="s">
        <v>205</v>
      </c>
      <c r="F54" s="109" t="s">
        <v>260</v>
      </c>
      <c r="G54" s="109"/>
      <c r="H54" s="109" t="str">
        <f t="shared" si="8"/>
        <v/>
      </c>
      <c r="I54" s="109" t="str">
        <f t="shared" si="9"/>
        <v>In Progress</v>
      </c>
      <c r="J54" s="109" t="s">
        <v>105</v>
      </c>
      <c r="K54" s="109" t="s">
        <v>56</v>
      </c>
      <c r="L54" s="109" t="s">
        <v>107</v>
      </c>
      <c r="M54" s="109" t="str">
        <f t="shared" si="10"/>
        <v/>
      </c>
      <c r="N54" s="111" t="str">
        <f t="shared" si="11"/>
        <v/>
      </c>
      <c r="O54" s="109" t="s">
        <v>175</v>
      </c>
    </row>
    <row r="55" spans="1:15" ht="15" customHeight="1" x14ac:dyDescent="0.25">
      <c r="A55" s="112">
        <v>52</v>
      </c>
      <c r="B55" s="113" t="s">
        <v>57</v>
      </c>
      <c r="C55" s="112" t="s">
        <v>121</v>
      </c>
      <c r="D55" s="112" t="s">
        <v>261</v>
      </c>
      <c r="E55" s="112" t="s">
        <v>165</v>
      </c>
      <c r="F55" s="112" t="s">
        <v>249</v>
      </c>
      <c r="G55" s="112"/>
      <c r="H55" s="112" t="str">
        <f t="shared" si="8"/>
        <v/>
      </c>
      <c r="I55" s="112" t="str">
        <f t="shared" si="9"/>
        <v>Not Started</v>
      </c>
      <c r="J55" s="112" t="s">
        <v>168</v>
      </c>
      <c r="K55" s="112" t="s">
        <v>174</v>
      </c>
      <c r="L55" s="112" t="s">
        <v>115</v>
      </c>
      <c r="M55" s="112" t="str">
        <f t="shared" si="10"/>
        <v/>
      </c>
      <c r="N55" s="114" t="str">
        <f t="shared" si="11"/>
        <v/>
      </c>
      <c r="O55" s="112" t="s">
        <v>108</v>
      </c>
    </row>
    <row r="56" spans="1:15" ht="15" customHeight="1" x14ac:dyDescent="0.25">
      <c r="A56" s="109">
        <v>53</v>
      </c>
      <c r="B56" s="110" t="s">
        <v>60</v>
      </c>
      <c r="C56" s="109" t="s">
        <v>101</v>
      </c>
      <c r="D56" s="109" t="s">
        <v>262</v>
      </c>
      <c r="E56" s="109" t="s">
        <v>230</v>
      </c>
      <c r="F56" s="109" t="s">
        <v>263</v>
      </c>
      <c r="G56" s="109"/>
      <c r="H56" s="109" t="str">
        <f t="shared" si="8"/>
        <v/>
      </c>
      <c r="I56" s="109" t="str">
        <f t="shared" si="9"/>
        <v>In Progress</v>
      </c>
      <c r="J56" s="109" t="s">
        <v>214</v>
      </c>
      <c r="K56" s="109" t="s">
        <v>149</v>
      </c>
      <c r="L56" s="109" t="s">
        <v>127</v>
      </c>
      <c r="M56" s="109" t="str">
        <f t="shared" si="10"/>
        <v/>
      </c>
      <c r="N56" s="111" t="str">
        <f t="shared" si="11"/>
        <v/>
      </c>
      <c r="O56" s="109" t="s">
        <v>108</v>
      </c>
    </row>
    <row r="57" spans="1:15" ht="15" customHeight="1" x14ac:dyDescent="0.25">
      <c r="A57" s="112">
        <v>54</v>
      </c>
      <c r="B57" s="113" t="s">
        <v>64</v>
      </c>
      <c r="C57" s="112" t="s">
        <v>67</v>
      </c>
      <c r="D57" s="112" t="s">
        <v>237</v>
      </c>
      <c r="E57" s="112" t="s">
        <v>252</v>
      </c>
      <c r="F57" s="112" t="s">
        <v>264</v>
      </c>
      <c r="G57" s="112"/>
      <c r="H57" s="112" t="str">
        <f t="shared" si="8"/>
        <v/>
      </c>
      <c r="I57" s="112" t="str">
        <f t="shared" si="9"/>
        <v>In Progress</v>
      </c>
      <c r="J57" s="112" t="s">
        <v>265</v>
      </c>
      <c r="K57" s="112" t="s">
        <v>126</v>
      </c>
      <c r="L57" s="112" t="s">
        <v>107</v>
      </c>
      <c r="M57" s="112" t="str">
        <f t="shared" si="10"/>
        <v/>
      </c>
      <c r="N57" s="114" t="str">
        <f t="shared" si="11"/>
        <v/>
      </c>
      <c r="O57" s="112" t="s">
        <v>194</v>
      </c>
    </row>
    <row r="58" spans="1:15" ht="15" customHeight="1" x14ac:dyDescent="0.25">
      <c r="A58" s="109">
        <v>55</v>
      </c>
      <c r="B58" s="110" t="s">
        <v>68</v>
      </c>
      <c r="C58" s="109" t="s">
        <v>218</v>
      </c>
      <c r="D58" s="109" t="s">
        <v>215</v>
      </c>
      <c r="E58" s="109" t="s">
        <v>155</v>
      </c>
      <c r="F58" s="109" t="s">
        <v>266</v>
      </c>
      <c r="G58" s="109"/>
      <c r="H58" s="109" t="str">
        <f t="shared" si="8"/>
        <v/>
      </c>
      <c r="I58" s="109" t="str">
        <f t="shared" si="9"/>
        <v>Completed</v>
      </c>
      <c r="J58" s="109" t="s">
        <v>222</v>
      </c>
      <c r="K58" s="109" t="s">
        <v>149</v>
      </c>
      <c r="L58" s="109" t="s">
        <v>127</v>
      </c>
      <c r="M58" s="109" t="str">
        <f t="shared" si="10"/>
        <v/>
      </c>
      <c r="N58" s="111" t="str">
        <f t="shared" si="11"/>
        <v/>
      </c>
      <c r="O58" s="109" t="s">
        <v>194</v>
      </c>
    </row>
    <row r="59" spans="1:15" ht="15" customHeight="1" x14ac:dyDescent="0.25">
      <c r="A59" s="112">
        <v>56</v>
      </c>
      <c r="B59" s="113" t="s">
        <v>70</v>
      </c>
      <c r="C59" s="112" t="s">
        <v>121</v>
      </c>
      <c r="D59" s="112" t="s">
        <v>240</v>
      </c>
      <c r="E59" s="112" t="s">
        <v>135</v>
      </c>
      <c r="F59" s="112" t="s">
        <v>245</v>
      </c>
      <c r="G59" s="112"/>
      <c r="H59" s="112" t="str">
        <f t="shared" si="8"/>
        <v/>
      </c>
      <c r="I59" s="112" t="str">
        <f t="shared" si="9"/>
        <v>Not Started</v>
      </c>
      <c r="J59" s="112" t="s">
        <v>179</v>
      </c>
      <c r="K59" s="112" t="s">
        <v>63</v>
      </c>
      <c r="L59" s="112" t="s">
        <v>115</v>
      </c>
      <c r="M59" s="112" t="str">
        <f t="shared" si="10"/>
        <v/>
      </c>
      <c r="N59" s="114" t="str">
        <f t="shared" si="11"/>
        <v/>
      </c>
      <c r="O59" s="112" t="s">
        <v>186</v>
      </c>
    </row>
    <row r="60" spans="1:15" ht="15" customHeight="1" x14ac:dyDescent="0.25">
      <c r="A60" s="109">
        <v>57</v>
      </c>
      <c r="B60" s="110" t="s">
        <v>74</v>
      </c>
      <c r="C60" s="109" t="s">
        <v>55</v>
      </c>
      <c r="D60" s="109" t="s">
        <v>267</v>
      </c>
      <c r="E60" s="109" t="s">
        <v>111</v>
      </c>
      <c r="F60" s="109" t="s">
        <v>268</v>
      </c>
      <c r="G60" s="109"/>
      <c r="H60" s="109" t="str">
        <f t="shared" si="8"/>
        <v/>
      </c>
      <c r="I60" s="109" t="str">
        <f t="shared" si="9"/>
        <v>In Progress</v>
      </c>
      <c r="J60" s="109" t="s">
        <v>137</v>
      </c>
      <c r="K60" s="109" t="s">
        <v>56</v>
      </c>
      <c r="L60" s="109" t="s">
        <v>115</v>
      </c>
      <c r="M60" s="109" t="str">
        <f t="shared" si="10"/>
        <v/>
      </c>
      <c r="N60" s="111" t="str">
        <f t="shared" si="11"/>
        <v/>
      </c>
      <c r="O60" s="109" t="s">
        <v>108</v>
      </c>
    </row>
    <row r="61" spans="1:15" ht="15" customHeight="1" x14ac:dyDescent="0.25">
      <c r="A61" s="112">
        <v>58</v>
      </c>
      <c r="B61" s="113" t="s">
        <v>78</v>
      </c>
      <c r="C61" s="112" t="s">
        <v>67</v>
      </c>
      <c r="D61" s="112" t="s">
        <v>164</v>
      </c>
      <c r="E61" s="112" t="s">
        <v>171</v>
      </c>
      <c r="F61" s="112" t="s">
        <v>269</v>
      </c>
      <c r="G61" s="112"/>
      <c r="H61" s="112" t="str">
        <f t="shared" si="8"/>
        <v/>
      </c>
      <c r="I61" s="112" t="str">
        <f t="shared" si="9"/>
        <v>Not Started</v>
      </c>
      <c r="J61" s="112" t="s">
        <v>125</v>
      </c>
      <c r="K61" s="112" t="s">
        <v>126</v>
      </c>
      <c r="L61" s="112" t="s">
        <v>115</v>
      </c>
      <c r="M61" s="112" t="str">
        <f t="shared" si="10"/>
        <v/>
      </c>
      <c r="N61" s="114" t="str">
        <f t="shared" si="11"/>
        <v/>
      </c>
      <c r="O61" s="112" t="s">
        <v>169</v>
      </c>
    </row>
    <row r="62" spans="1:15" ht="15" customHeight="1" x14ac:dyDescent="0.25">
      <c r="A62" s="109">
        <v>59</v>
      </c>
      <c r="B62" s="110" t="s">
        <v>80</v>
      </c>
      <c r="C62" s="109" t="s">
        <v>182</v>
      </c>
      <c r="D62" s="109" t="s">
        <v>154</v>
      </c>
      <c r="E62" s="109" t="s">
        <v>146</v>
      </c>
      <c r="F62" s="109" t="s">
        <v>255</v>
      </c>
      <c r="G62" s="109"/>
      <c r="H62" s="109" t="str">
        <f t="shared" si="8"/>
        <v/>
      </c>
      <c r="I62" s="109" t="str">
        <f t="shared" si="9"/>
        <v>In Progress</v>
      </c>
      <c r="J62" s="109" t="s">
        <v>265</v>
      </c>
      <c r="K62" s="109" t="s">
        <v>106</v>
      </c>
      <c r="L62" s="109" t="s">
        <v>127</v>
      </c>
      <c r="M62" s="109" t="str">
        <f t="shared" si="10"/>
        <v/>
      </c>
      <c r="N62" s="111" t="str">
        <f t="shared" si="11"/>
        <v/>
      </c>
      <c r="O62" s="109" t="s">
        <v>239</v>
      </c>
    </row>
    <row r="63" spans="1:15" ht="15" customHeight="1" x14ac:dyDescent="0.25">
      <c r="A63" s="112">
        <v>60</v>
      </c>
      <c r="B63" s="113" t="s">
        <v>83</v>
      </c>
      <c r="C63" s="112" t="s">
        <v>220</v>
      </c>
      <c r="D63" s="112" t="s">
        <v>270</v>
      </c>
      <c r="E63" s="112" t="s">
        <v>129</v>
      </c>
      <c r="F63" s="112" t="s">
        <v>233</v>
      </c>
      <c r="G63" s="112"/>
      <c r="H63" s="112" t="str">
        <f t="shared" si="8"/>
        <v/>
      </c>
      <c r="I63" s="112" t="str">
        <f t="shared" si="9"/>
        <v>Not Started</v>
      </c>
      <c r="J63" s="112" t="s">
        <v>217</v>
      </c>
      <c r="K63" s="112" t="s">
        <v>56</v>
      </c>
      <c r="L63" s="112" t="s">
        <v>150</v>
      </c>
      <c r="M63" s="112" t="str">
        <f t="shared" si="10"/>
        <v/>
      </c>
      <c r="N63" s="114" t="str">
        <f t="shared" si="11"/>
        <v/>
      </c>
      <c r="O63" s="112" t="s">
        <v>186</v>
      </c>
    </row>
    <row r="64" spans="1:15" ht="15" customHeight="1" x14ac:dyDescent="0.25">
      <c r="A64" s="109">
        <v>61</v>
      </c>
      <c r="B64" s="110" t="s">
        <v>52</v>
      </c>
      <c r="C64" s="109" t="s">
        <v>101</v>
      </c>
      <c r="D64" s="109" t="s">
        <v>116</v>
      </c>
      <c r="E64" s="109" t="s">
        <v>103</v>
      </c>
      <c r="F64" s="109" t="s">
        <v>271</v>
      </c>
      <c r="G64" s="109"/>
      <c r="H64" s="109" t="str">
        <f t="shared" si="8"/>
        <v/>
      </c>
      <c r="I64" s="109" t="str">
        <f t="shared" si="9"/>
        <v>In Progress</v>
      </c>
      <c r="J64" s="109" t="s">
        <v>105</v>
      </c>
      <c r="K64" s="109" t="s">
        <v>210</v>
      </c>
      <c r="L64" s="109" t="s">
        <v>127</v>
      </c>
      <c r="M64" s="109" t="str">
        <f t="shared" si="10"/>
        <v/>
      </c>
      <c r="N64" s="111" t="str">
        <f t="shared" si="11"/>
        <v/>
      </c>
      <c r="O64" s="109" t="s">
        <v>194</v>
      </c>
    </row>
    <row r="65" spans="1:15" ht="15" customHeight="1" x14ac:dyDescent="0.25">
      <c r="A65" s="112">
        <v>62</v>
      </c>
      <c r="B65" s="113" t="s">
        <v>57</v>
      </c>
      <c r="C65" s="112" t="s">
        <v>109</v>
      </c>
      <c r="D65" s="112" t="s">
        <v>272</v>
      </c>
      <c r="E65" s="112" t="s">
        <v>111</v>
      </c>
      <c r="F65" s="112" t="s">
        <v>273</v>
      </c>
      <c r="G65" s="112"/>
      <c r="H65" s="112" t="str">
        <f t="shared" si="8"/>
        <v/>
      </c>
      <c r="I65" s="112" t="str">
        <f t="shared" si="9"/>
        <v>In Progress</v>
      </c>
      <c r="J65" s="112" t="s">
        <v>157</v>
      </c>
      <c r="K65" s="112" t="s">
        <v>63</v>
      </c>
      <c r="L65" s="112" t="s">
        <v>107</v>
      </c>
      <c r="M65" s="112" t="str">
        <f t="shared" si="10"/>
        <v/>
      </c>
      <c r="N65" s="114" t="str">
        <f t="shared" si="11"/>
        <v/>
      </c>
      <c r="O65" s="112" t="s">
        <v>175</v>
      </c>
    </row>
    <row r="66" spans="1:15" ht="15" customHeight="1" x14ac:dyDescent="0.25">
      <c r="A66" s="109">
        <v>63</v>
      </c>
      <c r="B66" s="110" t="s">
        <v>60</v>
      </c>
      <c r="C66" s="109" t="s">
        <v>218</v>
      </c>
      <c r="D66" s="109" t="s">
        <v>195</v>
      </c>
      <c r="E66" s="109" t="s">
        <v>230</v>
      </c>
      <c r="F66" s="109" t="s">
        <v>274</v>
      </c>
      <c r="G66" s="109"/>
      <c r="H66" s="109" t="str">
        <f t="shared" si="8"/>
        <v/>
      </c>
      <c r="I66" s="109" t="str">
        <f t="shared" si="9"/>
        <v>In Progress</v>
      </c>
      <c r="J66" s="109" t="s">
        <v>242</v>
      </c>
      <c r="K66" s="109" t="s">
        <v>120</v>
      </c>
      <c r="L66" s="109" t="s">
        <v>132</v>
      </c>
      <c r="M66" s="109" t="str">
        <f t="shared" si="10"/>
        <v/>
      </c>
      <c r="N66" s="111" t="str">
        <f t="shared" si="11"/>
        <v/>
      </c>
      <c r="O66" s="109" t="s">
        <v>175</v>
      </c>
    </row>
    <row r="67" spans="1:15" ht="15" customHeight="1" x14ac:dyDescent="0.25">
      <c r="A67" s="112">
        <v>64</v>
      </c>
      <c r="B67" s="113" t="s">
        <v>64</v>
      </c>
      <c r="C67" s="112" t="s">
        <v>86</v>
      </c>
      <c r="D67" s="112" t="s">
        <v>195</v>
      </c>
      <c r="E67" s="112" t="s">
        <v>252</v>
      </c>
      <c r="F67" s="112" t="s">
        <v>275</v>
      </c>
      <c r="G67" s="112"/>
      <c r="H67" s="112" t="str">
        <f t="shared" si="8"/>
        <v/>
      </c>
      <c r="I67" s="112" t="str">
        <f t="shared" si="9"/>
        <v>In Progress</v>
      </c>
      <c r="J67" s="112" t="s">
        <v>276</v>
      </c>
      <c r="K67" s="112" t="s">
        <v>63</v>
      </c>
      <c r="L67" s="112" t="s">
        <v>127</v>
      </c>
      <c r="M67" s="112" t="str">
        <f t="shared" si="10"/>
        <v/>
      </c>
      <c r="N67" s="114" t="str">
        <f t="shared" si="11"/>
        <v/>
      </c>
      <c r="O67" s="112" t="s">
        <v>186</v>
      </c>
    </row>
    <row r="68" spans="1:15" ht="15" customHeight="1" x14ac:dyDescent="0.25">
      <c r="A68" s="109">
        <v>65</v>
      </c>
      <c r="B68" s="110" t="s">
        <v>68</v>
      </c>
      <c r="C68" s="109" t="s">
        <v>203</v>
      </c>
      <c r="D68" s="109" t="s">
        <v>229</v>
      </c>
      <c r="E68" s="109" t="s">
        <v>129</v>
      </c>
      <c r="F68" s="109" t="s">
        <v>277</v>
      </c>
      <c r="G68" s="109"/>
      <c r="H68" s="109" t="str">
        <f t="shared" si="8"/>
        <v/>
      </c>
      <c r="I68" s="109" t="str">
        <f t="shared" si="9"/>
        <v>In Progress</v>
      </c>
      <c r="J68" s="109" t="s">
        <v>161</v>
      </c>
      <c r="K68" s="109" t="s">
        <v>56</v>
      </c>
      <c r="L68" s="109" t="s">
        <v>143</v>
      </c>
      <c r="M68" s="109" t="str">
        <f t="shared" si="10"/>
        <v/>
      </c>
      <c r="N68" s="111" t="str">
        <f t="shared" si="11"/>
        <v/>
      </c>
      <c r="O68" s="109" t="s">
        <v>194</v>
      </c>
    </row>
    <row r="69" spans="1:15" ht="15" customHeight="1" x14ac:dyDescent="0.25">
      <c r="A69" s="112">
        <v>66</v>
      </c>
      <c r="B69" s="113" t="s">
        <v>70</v>
      </c>
      <c r="C69" s="112" t="s">
        <v>153</v>
      </c>
      <c r="D69" s="112" t="s">
        <v>278</v>
      </c>
      <c r="E69" s="112" t="s">
        <v>205</v>
      </c>
      <c r="F69" s="112" t="s">
        <v>279</v>
      </c>
      <c r="G69" s="112"/>
      <c r="H69" s="112" t="str">
        <f t="shared" si="8"/>
        <v/>
      </c>
      <c r="I69" s="112" t="str">
        <f t="shared" si="9"/>
        <v>In Progress</v>
      </c>
      <c r="J69" s="112" t="s">
        <v>246</v>
      </c>
      <c r="K69" s="112" t="s">
        <v>73</v>
      </c>
      <c r="L69" s="112" t="s">
        <v>107</v>
      </c>
      <c r="M69" s="112" t="str">
        <f t="shared" si="10"/>
        <v/>
      </c>
      <c r="N69" s="114" t="str">
        <f t="shared" si="11"/>
        <v/>
      </c>
      <c r="O69" s="112" t="s">
        <v>223</v>
      </c>
    </row>
    <row r="70" spans="1:15" ht="15" customHeight="1" x14ac:dyDescent="0.25">
      <c r="A70" s="109">
        <v>67</v>
      </c>
      <c r="B70" s="110" t="s">
        <v>74</v>
      </c>
      <c r="C70" s="109" t="s">
        <v>198</v>
      </c>
      <c r="D70" s="109" t="s">
        <v>72</v>
      </c>
      <c r="E70" s="109" t="s">
        <v>191</v>
      </c>
      <c r="F70" s="109" t="s">
        <v>280</v>
      </c>
      <c r="G70" s="109"/>
      <c r="H70" s="109" t="str">
        <f t="shared" si="8"/>
        <v/>
      </c>
      <c r="I70" s="109" t="str">
        <f t="shared" si="9"/>
        <v>In Progress</v>
      </c>
      <c r="J70" s="109" t="s">
        <v>242</v>
      </c>
      <c r="K70" s="109" t="s">
        <v>149</v>
      </c>
      <c r="L70" s="109" t="s">
        <v>107</v>
      </c>
      <c r="M70" s="109" t="str">
        <f t="shared" si="10"/>
        <v/>
      </c>
      <c r="N70" s="111" t="str">
        <f t="shared" si="11"/>
        <v/>
      </c>
      <c r="O70" s="109" t="s">
        <v>175</v>
      </c>
    </row>
    <row r="71" spans="1:15" ht="15" customHeight="1" x14ac:dyDescent="0.25">
      <c r="A71" s="112">
        <v>68</v>
      </c>
      <c r="B71" s="113" t="s">
        <v>78</v>
      </c>
      <c r="C71" s="112" t="s">
        <v>121</v>
      </c>
      <c r="D71" s="112" t="s">
        <v>199</v>
      </c>
      <c r="E71" s="112" t="s">
        <v>171</v>
      </c>
      <c r="F71" s="112" t="s">
        <v>281</v>
      </c>
      <c r="G71" s="112"/>
      <c r="H71" s="112" t="str">
        <f t="shared" si="8"/>
        <v/>
      </c>
      <c r="I71" s="112" t="str">
        <f t="shared" si="9"/>
        <v>In Progress</v>
      </c>
      <c r="J71" s="112" t="s">
        <v>282</v>
      </c>
      <c r="K71" s="112" t="s">
        <v>56</v>
      </c>
      <c r="L71" s="112" t="s">
        <v>138</v>
      </c>
      <c r="M71" s="112" t="str">
        <f t="shared" si="10"/>
        <v/>
      </c>
      <c r="N71" s="114" t="str">
        <f t="shared" si="11"/>
        <v/>
      </c>
      <c r="O71" s="112" t="s">
        <v>175</v>
      </c>
    </row>
    <row r="72" spans="1:15" ht="15" customHeight="1" x14ac:dyDescent="0.25">
      <c r="A72" s="109">
        <v>69</v>
      </c>
      <c r="B72" s="110" t="s">
        <v>80</v>
      </c>
      <c r="C72" s="109" t="s">
        <v>55</v>
      </c>
      <c r="D72" s="109" t="s">
        <v>221</v>
      </c>
      <c r="E72" s="109" t="s">
        <v>146</v>
      </c>
      <c r="F72" s="109" t="s">
        <v>283</v>
      </c>
      <c r="G72" s="109"/>
      <c r="H72" s="109" t="str">
        <f t="shared" si="8"/>
        <v/>
      </c>
      <c r="I72" s="109" t="str">
        <f t="shared" si="9"/>
        <v>In Progress</v>
      </c>
      <c r="J72" s="109" t="s">
        <v>105</v>
      </c>
      <c r="K72" s="109" t="s">
        <v>174</v>
      </c>
      <c r="L72" s="109" t="s">
        <v>143</v>
      </c>
      <c r="M72" s="109" t="str">
        <f t="shared" si="10"/>
        <v/>
      </c>
      <c r="N72" s="111" t="str">
        <f t="shared" si="11"/>
        <v/>
      </c>
      <c r="O72" s="109" t="s">
        <v>175</v>
      </c>
    </row>
    <row r="73" spans="1:15" ht="15" customHeight="1" x14ac:dyDescent="0.25">
      <c r="A73" s="112">
        <v>70</v>
      </c>
      <c r="B73" s="113" t="s">
        <v>83</v>
      </c>
      <c r="C73" s="112" t="s">
        <v>153</v>
      </c>
      <c r="D73" s="112" t="s">
        <v>248</v>
      </c>
      <c r="E73" s="112" t="s">
        <v>129</v>
      </c>
      <c r="F73" s="112" t="s">
        <v>284</v>
      </c>
      <c r="G73" s="112"/>
      <c r="H73" s="112" t="str">
        <f t="shared" si="8"/>
        <v/>
      </c>
      <c r="I73" s="112" t="str">
        <f t="shared" si="9"/>
        <v>In Progress</v>
      </c>
      <c r="J73" s="112" t="s">
        <v>119</v>
      </c>
      <c r="K73" s="112" t="s">
        <v>106</v>
      </c>
      <c r="L73" s="112" t="s">
        <v>138</v>
      </c>
      <c r="M73" s="112" t="str">
        <f t="shared" si="10"/>
        <v/>
      </c>
      <c r="N73" s="114" t="str">
        <f t="shared" si="11"/>
        <v/>
      </c>
      <c r="O73" s="112" t="s">
        <v>151</v>
      </c>
    </row>
    <row r="74" spans="1:15" ht="15" customHeight="1" x14ac:dyDescent="0.25">
      <c r="A74" s="109">
        <v>71</v>
      </c>
      <c r="B74" s="110" t="s">
        <v>52</v>
      </c>
      <c r="C74" s="109" t="s">
        <v>218</v>
      </c>
      <c r="D74" s="109" t="s">
        <v>221</v>
      </c>
      <c r="E74" s="109" t="s">
        <v>103</v>
      </c>
      <c r="F74" s="109" t="s">
        <v>213</v>
      </c>
      <c r="G74" s="109"/>
      <c r="H74" s="109" t="str">
        <f t="shared" si="8"/>
        <v/>
      </c>
      <c r="I74" s="109" t="str">
        <f t="shared" si="9"/>
        <v>In Progress</v>
      </c>
      <c r="J74" s="109" t="s">
        <v>185</v>
      </c>
      <c r="K74" s="109" t="s">
        <v>106</v>
      </c>
      <c r="L74" s="109" t="s">
        <v>127</v>
      </c>
      <c r="M74" s="109" t="str">
        <f t="shared" si="10"/>
        <v/>
      </c>
      <c r="N74" s="111" t="str">
        <f t="shared" si="11"/>
        <v/>
      </c>
      <c r="O74" s="109" t="s">
        <v>108</v>
      </c>
    </row>
    <row r="75" spans="1:15" ht="15" customHeight="1" x14ac:dyDescent="0.25">
      <c r="A75" s="112">
        <v>72</v>
      </c>
      <c r="B75" s="113" t="s">
        <v>57</v>
      </c>
      <c r="C75" s="112" t="s">
        <v>121</v>
      </c>
      <c r="D75" s="112" t="s">
        <v>212</v>
      </c>
      <c r="E75" s="112" t="s">
        <v>191</v>
      </c>
      <c r="F75" s="112" t="s">
        <v>285</v>
      </c>
      <c r="G75" s="112"/>
      <c r="H75" s="112" t="str">
        <f t="shared" si="8"/>
        <v/>
      </c>
      <c r="I75" s="112" t="str">
        <f t="shared" si="9"/>
        <v>In Progress</v>
      </c>
      <c r="J75" s="112" t="s">
        <v>276</v>
      </c>
      <c r="K75" s="112" t="s">
        <v>193</v>
      </c>
      <c r="L75" s="112" t="s">
        <v>127</v>
      </c>
      <c r="M75" s="112" t="str">
        <f t="shared" si="10"/>
        <v/>
      </c>
      <c r="N75" s="114" t="str">
        <f t="shared" si="11"/>
        <v/>
      </c>
      <c r="O75" s="112" t="s">
        <v>162</v>
      </c>
    </row>
    <row r="76" spans="1:15" ht="15" customHeight="1" x14ac:dyDescent="0.25">
      <c r="A76" s="109">
        <v>73</v>
      </c>
      <c r="B76" s="110" t="s">
        <v>60</v>
      </c>
      <c r="C76" s="109" t="s">
        <v>101</v>
      </c>
      <c r="D76" s="109" t="s">
        <v>164</v>
      </c>
      <c r="E76" s="109" t="s">
        <v>117</v>
      </c>
      <c r="F76" s="109" t="s">
        <v>286</v>
      </c>
      <c r="G76" s="109"/>
      <c r="H76" s="109" t="str">
        <f t="shared" si="8"/>
        <v/>
      </c>
      <c r="I76" s="109" t="str">
        <f t="shared" si="9"/>
        <v>Not Started</v>
      </c>
      <c r="J76" s="109" t="s">
        <v>217</v>
      </c>
      <c r="K76" s="109" t="s">
        <v>158</v>
      </c>
      <c r="L76" s="109" t="s">
        <v>115</v>
      </c>
      <c r="M76" s="109" t="str">
        <f t="shared" si="10"/>
        <v/>
      </c>
      <c r="N76" s="111" t="str">
        <f t="shared" si="11"/>
        <v/>
      </c>
      <c r="O76" s="109" t="s">
        <v>169</v>
      </c>
    </row>
    <row r="77" spans="1:15" ht="15" customHeight="1" x14ac:dyDescent="0.25">
      <c r="A77" s="112">
        <v>74</v>
      </c>
      <c r="B77" s="113" t="s">
        <v>64</v>
      </c>
      <c r="C77" s="112" t="s">
        <v>153</v>
      </c>
      <c r="D77" s="112" t="s">
        <v>164</v>
      </c>
      <c r="E77" s="112" t="s">
        <v>146</v>
      </c>
      <c r="F77" s="112" t="s">
        <v>287</v>
      </c>
      <c r="G77" s="112"/>
      <c r="H77" s="112" t="str">
        <f t="shared" si="8"/>
        <v/>
      </c>
      <c r="I77" s="112" t="str">
        <f t="shared" si="9"/>
        <v>Completed</v>
      </c>
      <c r="J77" s="112" t="s">
        <v>222</v>
      </c>
      <c r="K77" s="112" t="s">
        <v>158</v>
      </c>
      <c r="L77" s="112" t="s">
        <v>150</v>
      </c>
      <c r="M77" s="112" t="str">
        <f t="shared" si="10"/>
        <v/>
      </c>
      <c r="N77" s="114" t="str">
        <f t="shared" si="11"/>
        <v/>
      </c>
      <c r="O77" s="112" t="s">
        <v>186</v>
      </c>
    </row>
    <row r="78" spans="1:15" ht="15" customHeight="1" x14ac:dyDescent="0.25">
      <c r="A78" s="109">
        <v>75</v>
      </c>
      <c r="B78" s="110" t="s">
        <v>68</v>
      </c>
      <c r="C78" s="109" t="s">
        <v>218</v>
      </c>
      <c r="D78" s="109" t="s">
        <v>116</v>
      </c>
      <c r="E78" s="109" t="s">
        <v>129</v>
      </c>
      <c r="F78" s="109" t="s">
        <v>288</v>
      </c>
      <c r="G78" s="109"/>
      <c r="H78" s="109" t="str">
        <f t="shared" si="8"/>
        <v/>
      </c>
      <c r="I78" s="109" t="str">
        <f t="shared" si="9"/>
        <v>In Progress</v>
      </c>
      <c r="J78" s="109" t="s">
        <v>209</v>
      </c>
      <c r="K78" s="109" t="s">
        <v>56</v>
      </c>
      <c r="L78" s="109" t="s">
        <v>132</v>
      </c>
      <c r="M78" s="109" t="str">
        <f t="shared" si="10"/>
        <v/>
      </c>
      <c r="N78" s="111" t="str">
        <f t="shared" si="11"/>
        <v/>
      </c>
      <c r="O78" s="109" t="s">
        <v>223</v>
      </c>
    </row>
    <row r="79" spans="1:15" ht="15" customHeight="1" x14ac:dyDescent="0.25">
      <c r="A79" s="112">
        <v>76</v>
      </c>
      <c r="B79" s="113" t="s">
        <v>70</v>
      </c>
      <c r="C79" s="112" t="s">
        <v>121</v>
      </c>
      <c r="D79" s="112" t="s">
        <v>289</v>
      </c>
      <c r="E79" s="112" t="s">
        <v>135</v>
      </c>
      <c r="F79" s="112" t="s">
        <v>290</v>
      </c>
      <c r="G79" s="112"/>
      <c r="H79" s="112" t="str">
        <f t="shared" si="8"/>
        <v/>
      </c>
      <c r="I79" s="112" t="str">
        <f t="shared" si="9"/>
        <v>In Progress</v>
      </c>
      <c r="J79" s="112" t="s">
        <v>226</v>
      </c>
      <c r="K79" s="112" t="s">
        <v>63</v>
      </c>
      <c r="L79" s="112" t="s">
        <v>138</v>
      </c>
      <c r="M79" s="112" t="str">
        <f t="shared" si="10"/>
        <v/>
      </c>
      <c r="N79" s="114" t="str">
        <f t="shared" si="11"/>
        <v/>
      </c>
      <c r="O79" s="112" t="s">
        <v>239</v>
      </c>
    </row>
    <row r="80" spans="1:15" ht="15" customHeight="1" x14ac:dyDescent="0.25">
      <c r="A80" s="109">
        <v>77</v>
      </c>
      <c r="B80" s="110" t="s">
        <v>74</v>
      </c>
      <c r="C80" s="109" t="s">
        <v>55</v>
      </c>
      <c r="D80" s="109" t="s">
        <v>183</v>
      </c>
      <c r="E80" s="109" t="s">
        <v>165</v>
      </c>
      <c r="F80" s="109" t="s">
        <v>291</v>
      </c>
      <c r="G80" s="109"/>
      <c r="H80" s="109" t="str">
        <f t="shared" si="8"/>
        <v/>
      </c>
      <c r="I80" s="109" t="str">
        <f t="shared" si="9"/>
        <v>In Progress</v>
      </c>
      <c r="J80" s="109" t="s">
        <v>119</v>
      </c>
      <c r="K80" s="109" t="s">
        <v>174</v>
      </c>
      <c r="L80" s="109" t="s">
        <v>132</v>
      </c>
      <c r="M80" s="109" t="str">
        <f t="shared" si="10"/>
        <v/>
      </c>
      <c r="N80" s="111" t="str">
        <f t="shared" si="11"/>
        <v/>
      </c>
      <c r="O80" s="109" t="s">
        <v>139</v>
      </c>
    </row>
    <row r="81" spans="1:15" ht="15" customHeight="1" x14ac:dyDescent="0.25">
      <c r="A81" s="112">
        <v>78</v>
      </c>
      <c r="B81" s="113" t="s">
        <v>78</v>
      </c>
      <c r="C81" s="112" t="s">
        <v>133</v>
      </c>
      <c r="D81" s="112" t="s">
        <v>190</v>
      </c>
      <c r="E81" s="112" t="s">
        <v>171</v>
      </c>
      <c r="F81" s="112" t="s">
        <v>292</v>
      </c>
      <c r="G81" s="112"/>
      <c r="H81" s="112" t="str">
        <f t="shared" si="8"/>
        <v/>
      </c>
      <c r="I81" s="112" t="str">
        <f t="shared" si="9"/>
        <v>Completed</v>
      </c>
      <c r="J81" s="112" t="s">
        <v>113</v>
      </c>
      <c r="K81" s="112" t="s">
        <v>158</v>
      </c>
      <c r="L81" s="112" t="s">
        <v>107</v>
      </c>
      <c r="M81" s="112" t="str">
        <f t="shared" si="10"/>
        <v/>
      </c>
      <c r="N81" s="114" t="str">
        <f t="shared" si="11"/>
        <v/>
      </c>
      <c r="O81" s="112" t="s">
        <v>139</v>
      </c>
    </row>
    <row r="82" spans="1:15" ht="15" customHeight="1" x14ac:dyDescent="0.25">
      <c r="A82" s="109">
        <v>79</v>
      </c>
      <c r="B82" s="110" t="s">
        <v>80</v>
      </c>
      <c r="C82" s="109" t="s">
        <v>198</v>
      </c>
      <c r="D82" s="109" t="s">
        <v>293</v>
      </c>
      <c r="E82" s="109" t="s">
        <v>123</v>
      </c>
      <c r="F82" s="109" t="s">
        <v>294</v>
      </c>
      <c r="G82" s="109"/>
      <c r="H82" s="109" t="str">
        <f t="shared" ref="H82:H113" si="12">IF(OR(F82="",G82=""),"",G82-F82)</f>
        <v/>
      </c>
      <c r="I82" s="109" t="str">
        <f t="shared" ref="I82:I113" si="13">IFERROR(IF(VALUE(SUBSTITUTE(SUBSTITUTE(J82,"%","")," ",""))&lt;=0,"Not Started",IF(VALUE(SUBSTITUTE(SUBSTITUTE(J82,"%","")," ",""))&gt;=100,"Completed","In Progress")),"Not Started")</f>
        <v>In Progress</v>
      </c>
      <c r="J82" s="109" t="s">
        <v>282</v>
      </c>
      <c r="K82" s="109" t="s">
        <v>56</v>
      </c>
      <c r="L82" s="109" t="s">
        <v>132</v>
      </c>
      <c r="M82" s="109" t="str">
        <f t="shared" ref="M82:M113" si="14">IF(H82="","",H82*8)</f>
        <v/>
      </c>
      <c r="N82" s="111" t="str">
        <f t="shared" ref="N82:N113" si="15">IF(OR(L82="",H82=""),"",L82*H82)</f>
        <v/>
      </c>
      <c r="O82" s="109" t="s">
        <v>108</v>
      </c>
    </row>
    <row r="83" spans="1:15" ht="15" customHeight="1" x14ac:dyDescent="0.25">
      <c r="A83" s="112">
        <v>80</v>
      </c>
      <c r="B83" s="113" t="s">
        <v>83</v>
      </c>
      <c r="C83" s="112" t="s">
        <v>86</v>
      </c>
      <c r="D83" s="112" t="s">
        <v>295</v>
      </c>
      <c r="E83" s="112" t="s">
        <v>129</v>
      </c>
      <c r="F83" s="112" t="s">
        <v>296</v>
      </c>
      <c r="G83" s="112"/>
      <c r="H83" s="112" t="str">
        <f t="shared" si="12"/>
        <v/>
      </c>
      <c r="I83" s="112" t="str">
        <f t="shared" si="13"/>
        <v>Not Started</v>
      </c>
      <c r="J83" s="112" t="s">
        <v>125</v>
      </c>
      <c r="K83" s="112" t="s">
        <v>63</v>
      </c>
      <c r="L83" s="112" t="s">
        <v>107</v>
      </c>
      <c r="M83" s="112" t="str">
        <f t="shared" si="14"/>
        <v/>
      </c>
      <c r="N83" s="114" t="str">
        <f t="shared" si="15"/>
        <v/>
      </c>
      <c r="O83" s="112" t="s">
        <v>169</v>
      </c>
    </row>
    <row r="84" spans="1:15" ht="15" customHeight="1" x14ac:dyDescent="0.25">
      <c r="A84" s="109">
        <v>81</v>
      </c>
      <c r="B84" s="110" t="s">
        <v>52</v>
      </c>
      <c r="C84" s="109" t="s">
        <v>101</v>
      </c>
      <c r="D84" s="109" t="s">
        <v>201</v>
      </c>
      <c r="E84" s="109" t="s">
        <v>135</v>
      </c>
      <c r="F84" s="109" t="s">
        <v>297</v>
      </c>
      <c r="G84" s="109"/>
      <c r="H84" s="109" t="str">
        <f t="shared" si="12"/>
        <v/>
      </c>
      <c r="I84" s="109" t="str">
        <f t="shared" si="13"/>
        <v>In Progress</v>
      </c>
      <c r="J84" s="109" t="s">
        <v>197</v>
      </c>
      <c r="K84" s="109" t="s">
        <v>56</v>
      </c>
      <c r="L84" s="109" t="s">
        <v>107</v>
      </c>
      <c r="M84" s="109" t="str">
        <f t="shared" si="14"/>
        <v/>
      </c>
      <c r="N84" s="111" t="str">
        <f t="shared" si="15"/>
        <v/>
      </c>
      <c r="O84" s="109" t="s">
        <v>108</v>
      </c>
    </row>
    <row r="85" spans="1:15" ht="15" customHeight="1" x14ac:dyDescent="0.25">
      <c r="A85" s="112">
        <v>82</v>
      </c>
      <c r="B85" s="113" t="s">
        <v>57</v>
      </c>
      <c r="C85" s="112" t="s">
        <v>153</v>
      </c>
      <c r="D85" s="112" t="s">
        <v>140</v>
      </c>
      <c r="E85" s="112" t="s">
        <v>165</v>
      </c>
      <c r="F85" s="112" t="s">
        <v>298</v>
      </c>
      <c r="G85" s="112"/>
      <c r="H85" s="112" t="str">
        <f t="shared" si="12"/>
        <v/>
      </c>
      <c r="I85" s="112" t="str">
        <f t="shared" si="13"/>
        <v>In Progress</v>
      </c>
      <c r="J85" s="112" t="s">
        <v>250</v>
      </c>
      <c r="K85" s="112" t="s">
        <v>158</v>
      </c>
      <c r="L85" s="112" t="s">
        <v>143</v>
      </c>
      <c r="M85" s="112" t="str">
        <f t="shared" si="14"/>
        <v/>
      </c>
      <c r="N85" s="114" t="str">
        <f t="shared" si="15"/>
        <v/>
      </c>
      <c r="O85" s="112" t="s">
        <v>108</v>
      </c>
    </row>
    <row r="86" spans="1:15" ht="15" customHeight="1" x14ac:dyDescent="0.25">
      <c r="A86" s="109">
        <v>83</v>
      </c>
      <c r="B86" s="110" t="s">
        <v>60</v>
      </c>
      <c r="C86" s="109" t="s">
        <v>218</v>
      </c>
      <c r="D86" s="109" t="s">
        <v>295</v>
      </c>
      <c r="E86" s="109" t="s">
        <v>230</v>
      </c>
      <c r="F86" s="109" t="s">
        <v>299</v>
      </c>
      <c r="G86" s="109"/>
      <c r="H86" s="109" t="str">
        <f t="shared" si="12"/>
        <v/>
      </c>
      <c r="I86" s="109" t="str">
        <f t="shared" si="13"/>
        <v>In Progress</v>
      </c>
      <c r="J86" s="109" t="s">
        <v>265</v>
      </c>
      <c r="K86" s="109" t="s">
        <v>106</v>
      </c>
      <c r="L86" s="109" t="s">
        <v>150</v>
      </c>
      <c r="M86" s="109" t="str">
        <f t="shared" si="14"/>
        <v/>
      </c>
      <c r="N86" s="111" t="str">
        <f t="shared" si="15"/>
        <v/>
      </c>
      <c r="O86" s="109" t="s">
        <v>139</v>
      </c>
    </row>
    <row r="87" spans="1:15" ht="15" customHeight="1" x14ac:dyDescent="0.25">
      <c r="A87" s="112">
        <v>84</v>
      </c>
      <c r="B87" s="113" t="s">
        <v>64</v>
      </c>
      <c r="C87" s="112" t="s">
        <v>163</v>
      </c>
      <c r="D87" s="112" t="s">
        <v>140</v>
      </c>
      <c r="E87" s="112" t="s">
        <v>123</v>
      </c>
      <c r="F87" s="112" t="s">
        <v>300</v>
      </c>
      <c r="G87" s="112"/>
      <c r="H87" s="112" t="str">
        <f t="shared" si="12"/>
        <v/>
      </c>
      <c r="I87" s="112" t="str">
        <f t="shared" si="13"/>
        <v>In Progress</v>
      </c>
      <c r="J87" s="112" t="s">
        <v>235</v>
      </c>
      <c r="K87" s="112" t="s">
        <v>149</v>
      </c>
      <c r="L87" s="112" t="s">
        <v>115</v>
      </c>
      <c r="M87" s="112" t="str">
        <f t="shared" si="14"/>
        <v/>
      </c>
      <c r="N87" s="114" t="str">
        <f t="shared" si="15"/>
        <v/>
      </c>
      <c r="O87" s="112" t="s">
        <v>139</v>
      </c>
    </row>
    <row r="88" spans="1:15" ht="15" customHeight="1" x14ac:dyDescent="0.25">
      <c r="A88" s="109">
        <v>85</v>
      </c>
      <c r="B88" s="110" t="s">
        <v>68</v>
      </c>
      <c r="C88" s="109" t="s">
        <v>55</v>
      </c>
      <c r="D88" s="109" t="s">
        <v>240</v>
      </c>
      <c r="E88" s="109" t="s">
        <v>155</v>
      </c>
      <c r="F88" s="109" t="s">
        <v>301</v>
      </c>
      <c r="G88" s="109"/>
      <c r="H88" s="109" t="str">
        <f t="shared" si="12"/>
        <v/>
      </c>
      <c r="I88" s="109" t="str">
        <f t="shared" si="13"/>
        <v>In Progress</v>
      </c>
      <c r="J88" s="109" t="s">
        <v>242</v>
      </c>
      <c r="K88" s="109" t="s">
        <v>63</v>
      </c>
      <c r="L88" s="109" t="s">
        <v>115</v>
      </c>
      <c r="M88" s="109" t="str">
        <f t="shared" si="14"/>
        <v/>
      </c>
      <c r="N88" s="111" t="str">
        <f t="shared" si="15"/>
        <v/>
      </c>
      <c r="O88" s="109" t="s">
        <v>162</v>
      </c>
    </row>
    <row r="89" spans="1:15" ht="15" customHeight="1" x14ac:dyDescent="0.25">
      <c r="A89" s="112">
        <v>86</v>
      </c>
      <c r="B89" s="113" t="s">
        <v>70</v>
      </c>
      <c r="C89" s="112" t="s">
        <v>133</v>
      </c>
      <c r="D89" s="112" t="s">
        <v>267</v>
      </c>
      <c r="E89" s="112" t="s">
        <v>205</v>
      </c>
      <c r="F89" s="112" t="s">
        <v>285</v>
      </c>
      <c r="G89" s="112"/>
      <c r="H89" s="112" t="str">
        <f t="shared" si="12"/>
        <v/>
      </c>
      <c r="I89" s="112" t="str">
        <f t="shared" si="13"/>
        <v>In Progress</v>
      </c>
      <c r="J89" s="112" t="s">
        <v>226</v>
      </c>
      <c r="K89" s="112" t="s">
        <v>149</v>
      </c>
      <c r="L89" s="112" t="s">
        <v>107</v>
      </c>
      <c r="M89" s="112" t="str">
        <f t="shared" si="14"/>
        <v/>
      </c>
      <c r="N89" s="114" t="str">
        <f t="shared" si="15"/>
        <v/>
      </c>
      <c r="O89" s="112" t="s">
        <v>223</v>
      </c>
    </row>
    <row r="90" spans="1:15" ht="15" customHeight="1" x14ac:dyDescent="0.25">
      <c r="A90" s="109">
        <v>87</v>
      </c>
      <c r="B90" s="110" t="s">
        <v>74</v>
      </c>
      <c r="C90" s="109" t="s">
        <v>198</v>
      </c>
      <c r="D90" s="109" t="s">
        <v>145</v>
      </c>
      <c r="E90" s="109" t="s">
        <v>111</v>
      </c>
      <c r="F90" s="109" t="s">
        <v>156</v>
      </c>
      <c r="G90" s="109"/>
      <c r="H90" s="109" t="str">
        <f t="shared" si="12"/>
        <v/>
      </c>
      <c r="I90" s="109" t="str">
        <f t="shared" si="13"/>
        <v>In Progress</v>
      </c>
      <c r="J90" s="109" t="s">
        <v>276</v>
      </c>
      <c r="K90" s="109" t="s">
        <v>73</v>
      </c>
      <c r="L90" s="109" t="s">
        <v>132</v>
      </c>
      <c r="M90" s="109" t="str">
        <f t="shared" si="14"/>
        <v/>
      </c>
      <c r="N90" s="111" t="str">
        <f t="shared" si="15"/>
        <v/>
      </c>
      <c r="O90" s="109" t="s">
        <v>223</v>
      </c>
    </row>
    <row r="91" spans="1:15" ht="15" customHeight="1" x14ac:dyDescent="0.25">
      <c r="A91" s="112">
        <v>88</v>
      </c>
      <c r="B91" s="113" t="s">
        <v>78</v>
      </c>
      <c r="C91" s="112" t="s">
        <v>121</v>
      </c>
      <c r="D91" s="112" t="s">
        <v>302</v>
      </c>
      <c r="E91" s="112" t="s">
        <v>230</v>
      </c>
      <c r="F91" s="112" t="s">
        <v>273</v>
      </c>
      <c r="G91" s="112"/>
      <c r="H91" s="112" t="str">
        <f t="shared" si="12"/>
        <v/>
      </c>
      <c r="I91" s="112" t="str">
        <f t="shared" si="13"/>
        <v>In Progress</v>
      </c>
      <c r="J91" s="112" t="s">
        <v>303</v>
      </c>
      <c r="K91" s="112" t="s">
        <v>56</v>
      </c>
      <c r="L91" s="112" t="s">
        <v>132</v>
      </c>
      <c r="M91" s="112" t="str">
        <f t="shared" si="14"/>
        <v/>
      </c>
      <c r="N91" s="114" t="str">
        <f t="shared" si="15"/>
        <v/>
      </c>
      <c r="O91" s="112" t="s">
        <v>151</v>
      </c>
    </row>
    <row r="92" spans="1:15" ht="15" customHeight="1" x14ac:dyDescent="0.25">
      <c r="A92" s="109">
        <v>89</v>
      </c>
      <c r="B92" s="110" t="s">
        <v>80</v>
      </c>
      <c r="C92" s="109" t="s">
        <v>203</v>
      </c>
      <c r="D92" s="109" t="s">
        <v>154</v>
      </c>
      <c r="E92" s="109" t="s">
        <v>146</v>
      </c>
      <c r="F92" s="109" t="s">
        <v>253</v>
      </c>
      <c r="G92" s="109"/>
      <c r="H92" s="109" t="str">
        <f t="shared" si="12"/>
        <v/>
      </c>
      <c r="I92" s="109" t="str">
        <f t="shared" si="13"/>
        <v>Not Started</v>
      </c>
      <c r="J92" s="109" t="s">
        <v>125</v>
      </c>
      <c r="K92" s="109" t="s">
        <v>158</v>
      </c>
      <c r="L92" s="109" t="s">
        <v>143</v>
      </c>
      <c r="M92" s="109" t="str">
        <f t="shared" si="14"/>
        <v/>
      </c>
      <c r="N92" s="111" t="str">
        <f t="shared" si="15"/>
        <v/>
      </c>
      <c r="O92" s="109" t="s">
        <v>169</v>
      </c>
    </row>
    <row r="93" spans="1:15" ht="15" customHeight="1" x14ac:dyDescent="0.25">
      <c r="A93" s="112">
        <v>90</v>
      </c>
      <c r="B93" s="113" t="s">
        <v>83</v>
      </c>
      <c r="C93" s="112" t="s">
        <v>67</v>
      </c>
      <c r="D93" s="112" t="s">
        <v>289</v>
      </c>
      <c r="E93" s="112" t="s">
        <v>129</v>
      </c>
      <c r="F93" s="112" t="s">
        <v>260</v>
      </c>
      <c r="G93" s="112"/>
      <c r="H93" s="112" t="str">
        <f t="shared" si="12"/>
        <v/>
      </c>
      <c r="I93" s="112" t="str">
        <f t="shared" si="13"/>
        <v>In Progress</v>
      </c>
      <c r="J93" s="112" t="s">
        <v>214</v>
      </c>
      <c r="K93" s="112" t="s">
        <v>56</v>
      </c>
      <c r="L93" s="112" t="s">
        <v>138</v>
      </c>
      <c r="M93" s="112" t="str">
        <f t="shared" si="14"/>
        <v/>
      </c>
      <c r="N93" s="114" t="str">
        <f t="shared" si="15"/>
        <v/>
      </c>
      <c r="O93" s="112" t="s">
        <v>239</v>
      </c>
    </row>
    <row r="94" spans="1:15" ht="15" customHeight="1" x14ac:dyDescent="0.25">
      <c r="A94" s="109">
        <v>91</v>
      </c>
      <c r="B94" s="110" t="s">
        <v>52</v>
      </c>
      <c r="C94" s="109" t="s">
        <v>198</v>
      </c>
      <c r="D94" s="109" t="s">
        <v>304</v>
      </c>
      <c r="E94" s="109" t="s">
        <v>205</v>
      </c>
      <c r="F94" s="109" t="s">
        <v>264</v>
      </c>
      <c r="G94" s="109"/>
      <c r="H94" s="109" t="str">
        <f t="shared" si="12"/>
        <v/>
      </c>
      <c r="I94" s="109" t="str">
        <f t="shared" si="13"/>
        <v>In Progress</v>
      </c>
      <c r="J94" s="109" t="s">
        <v>282</v>
      </c>
      <c r="K94" s="109" t="s">
        <v>149</v>
      </c>
      <c r="L94" s="109" t="s">
        <v>127</v>
      </c>
      <c r="M94" s="109" t="str">
        <f t="shared" si="14"/>
        <v/>
      </c>
      <c r="N94" s="111" t="str">
        <f t="shared" si="15"/>
        <v/>
      </c>
      <c r="O94" s="109" t="s">
        <v>108</v>
      </c>
    </row>
    <row r="95" spans="1:15" ht="15" customHeight="1" x14ac:dyDescent="0.25">
      <c r="A95" s="112">
        <v>92</v>
      </c>
      <c r="B95" s="113" t="s">
        <v>57</v>
      </c>
      <c r="C95" s="112" t="s">
        <v>220</v>
      </c>
      <c r="D95" s="112" t="s">
        <v>102</v>
      </c>
      <c r="E95" s="112" t="s">
        <v>165</v>
      </c>
      <c r="F95" s="112" t="s">
        <v>305</v>
      </c>
      <c r="G95" s="112"/>
      <c r="H95" s="112" t="str">
        <f t="shared" si="12"/>
        <v/>
      </c>
      <c r="I95" s="112" t="str">
        <f t="shared" si="13"/>
        <v>In Progress</v>
      </c>
      <c r="J95" s="112" t="s">
        <v>137</v>
      </c>
      <c r="K95" s="112" t="s">
        <v>56</v>
      </c>
      <c r="L95" s="112" t="s">
        <v>132</v>
      </c>
      <c r="M95" s="112" t="str">
        <f t="shared" si="14"/>
        <v/>
      </c>
      <c r="N95" s="114" t="str">
        <f t="shared" si="15"/>
        <v/>
      </c>
      <c r="O95" s="112" t="s">
        <v>108</v>
      </c>
    </row>
    <row r="96" spans="1:15" ht="15" customHeight="1" x14ac:dyDescent="0.25">
      <c r="A96" s="109">
        <v>93</v>
      </c>
      <c r="B96" s="110" t="s">
        <v>60</v>
      </c>
      <c r="C96" s="109" t="s">
        <v>101</v>
      </c>
      <c r="D96" s="109" t="s">
        <v>201</v>
      </c>
      <c r="E96" s="109" t="s">
        <v>117</v>
      </c>
      <c r="F96" s="109" t="s">
        <v>263</v>
      </c>
      <c r="G96" s="109"/>
      <c r="H96" s="109" t="str">
        <f t="shared" si="12"/>
        <v/>
      </c>
      <c r="I96" s="109" t="str">
        <f t="shared" si="13"/>
        <v>Not Started</v>
      </c>
      <c r="J96" s="109" t="s">
        <v>168</v>
      </c>
      <c r="K96" s="109" t="s">
        <v>114</v>
      </c>
      <c r="L96" s="109" t="s">
        <v>127</v>
      </c>
      <c r="M96" s="109" t="str">
        <f t="shared" si="14"/>
        <v/>
      </c>
      <c r="N96" s="111" t="str">
        <f t="shared" si="15"/>
        <v/>
      </c>
      <c r="O96" s="109" t="s">
        <v>162</v>
      </c>
    </row>
    <row r="97" spans="1:15" ht="15" customHeight="1" x14ac:dyDescent="0.25">
      <c r="A97" s="112">
        <v>94</v>
      </c>
      <c r="B97" s="113" t="s">
        <v>64</v>
      </c>
      <c r="C97" s="112" t="s">
        <v>153</v>
      </c>
      <c r="D97" s="112" t="s">
        <v>110</v>
      </c>
      <c r="E97" s="112" t="s">
        <v>252</v>
      </c>
      <c r="F97" s="112" t="s">
        <v>292</v>
      </c>
      <c r="G97" s="112"/>
      <c r="H97" s="112" t="str">
        <f t="shared" si="12"/>
        <v/>
      </c>
      <c r="I97" s="112" t="str">
        <f t="shared" si="13"/>
        <v>Completed</v>
      </c>
      <c r="J97" s="112" t="s">
        <v>222</v>
      </c>
      <c r="K97" s="112" t="s">
        <v>210</v>
      </c>
      <c r="L97" s="112" t="s">
        <v>132</v>
      </c>
      <c r="M97" s="112" t="str">
        <f t="shared" si="14"/>
        <v/>
      </c>
      <c r="N97" s="114" t="str">
        <f t="shared" si="15"/>
        <v/>
      </c>
      <c r="O97" s="112" t="s">
        <v>151</v>
      </c>
    </row>
    <row r="98" spans="1:15" ht="15" customHeight="1" x14ac:dyDescent="0.25">
      <c r="A98" s="109">
        <v>95</v>
      </c>
      <c r="B98" s="110" t="s">
        <v>68</v>
      </c>
      <c r="C98" s="109" t="s">
        <v>77</v>
      </c>
      <c r="D98" s="109" t="s">
        <v>295</v>
      </c>
      <c r="E98" s="109" t="s">
        <v>129</v>
      </c>
      <c r="F98" s="109" t="s">
        <v>142</v>
      </c>
      <c r="G98" s="109"/>
      <c r="H98" s="109" t="str">
        <f t="shared" si="12"/>
        <v/>
      </c>
      <c r="I98" s="109" t="str">
        <f t="shared" si="13"/>
        <v>In Progress</v>
      </c>
      <c r="J98" s="109" t="s">
        <v>242</v>
      </c>
      <c r="K98" s="109" t="s">
        <v>193</v>
      </c>
      <c r="L98" s="109" t="s">
        <v>132</v>
      </c>
      <c r="M98" s="109" t="str">
        <f t="shared" si="14"/>
        <v/>
      </c>
      <c r="N98" s="111" t="str">
        <f t="shared" si="15"/>
        <v/>
      </c>
      <c r="O98" s="109" t="s">
        <v>108</v>
      </c>
    </row>
    <row r="99" spans="1:15" ht="15" customHeight="1" x14ac:dyDescent="0.25">
      <c r="A99" s="112">
        <v>96</v>
      </c>
      <c r="B99" s="113" t="s">
        <v>70</v>
      </c>
      <c r="C99" s="112" t="s">
        <v>163</v>
      </c>
      <c r="D99" s="112" t="s">
        <v>201</v>
      </c>
      <c r="E99" s="112" t="s">
        <v>205</v>
      </c>
      <c r="F99" s="112" t="s">
        <v>306</v>
      </c>
      <c r="G99" s="112"/>
      <c r="H99" s="112" t="str">
        <f t="shared" si="12"/>
        <v/>
      </c>
      <c r="I99" s="112" t="str">
        <f t="shared" si="13"/>
        <v>In Progress</v>
      </c>
      <c r="J99" s="112" t="s">
        <v>307</v>
      </c>
      <c r="K99" s="112" t="s">
        <v>193</v>
      </c>
      <c r="L99" s="112" t="s">
        <v>127</v>
      </c>
      <c r="M99" s="112" t="str">
        <f t="shared" si="14"/>
        <v/>
      </c>
      <c r="N99" s="114" t="str">
        <f t="shared" si="15"/>
        <v/>
      </c>
      <c r="O99" s="112" t="s">
        <v>175</v>
      </c>
    </row>
    <row r="100" spans="1:15" ht="15" customHeight="1" x14ac:dyDescent="0.25">
      <c r="A100" s="109">
        <v>97</v>
      </c>
      <c r="B100" s="110" t="s">
        <v>74</v>
      </c>
      <c r="C100" s="109" t="s">
        <v>144</v>
      </c>
      <c r="D100" s="109" t="s">
        <v>140</v>
      </c>
      <c r="E100" s="109" t="s">
        <v>111</v>
      </c>
      <c r="F100" s="109" t="s">
        <v>308</v>
      </c>
      <c r="G100" s="109"/>
      <c r="H100" s="109" t="str">
        <f t="shared" si="12"/>
        <v/>
      </c>
      <c r="I100" s="109" t="str">
        <f t="shared" si="13"/>
        <v>In Progress</v>
      </c>
      <c r="J100" s="109" t="s">
        <v>137</v>
      </c>
      <c r="K100" s="109" t="s">
        <v>126</v>
      </c>
      <c r="L100" s="109" t="s">
        <v>143</v>
      </c>
      <c r="M100" s="109" t="str">
        <f t="shared" si="14"/>
        <v/>
      </c>
      <c r="N100" s="111" t="str">
        <f t="shared" si="15"/>
        <v/>
      </c>
      <c r="O100" s="109" t="s">
        <v>108</v>
      </c>
    </row>
    <row r="101" spans="1:15" ht="15" customHeight="1" x14ac:dyDescent="0.25">
      <c r="A101" s="112">
        <v>98</v>
      </c>
      <c r="B101" s="113" t="s">
        <v>78</v>
      </c>
      <c r="C101" s="112" t="s">
        <v>67</v>
      </c>
      <c r="D101" s="112" t="s">
        <v>267</v>
      </c>
      <c r="E101" s="112" t="s">
        <v>117</v>
      </c>
      <c r="F101" s="112" t="s">
        <v>160</v>
      </c>
      <c r="G101" s="112"/>
      <c r="H101" s="112" t="str">
        <f t="shared" si="12"/>
        <v/>
      </c>
      <c r="I101" s="112" t="str">
        <f t="shared" si="13"/>
        <v>In Progress</v>
      </c>
      <c r="J101" s="112" t="s">
        <v>235</v>
      </c>
      <c r="K101" s="112" t="s">
        <v>149</v>
      </c>
      <c r="L101" s="112" t="s">
        <v>143</v>
      </c>
      <c r="M101" s="112" t="str">
        <f t="shared" si="14"/>
        <v/>
      </c>
      <c r="N101" s="114" t="str">
        <f t="shared" si="15"/>
        <v/>
      </c>
      <c r="O101" s="112" t="s">
        <v>186</v>
      </c>
    </row>
    <row r="102" spans="1:15" ht="15" customHeight="1" x14ac:dyDescent="0.25">
      <c r="A102" s="109">
        <v>99</v>
      </c>
      <c r="B102" s="110" t="s">
        <v>80</v>
      </c>
      <c r="C102" s="109" t="s">
        <v>218</v>
      </c>
      <c r="D102" s="109" t="s">
        <v>215</v>
      </c>
      <c r="E102" s="109" t="s">
        <v>123</v>
      </c>
      <c r="F102" s="109" t="s">
        <v>309</v>
      </c>
      <c r="G102" s="109"/>
      <c r="H102" s="109" t="str">
        <f t="shared" si="12"/>
        <v/>
      </c>
      <c r="I102" s="109" t="str">
        <f t="shared" si="13"/>
        <v>In Progress</v>
      </c>
      <c r="J102" s="109" t="s">
        <v>265</v>
      </c>
      <c r="K102" s="109" t="s">
        <v>106</v>
      </c>
      <c r="L102" s="109" t="s">
        <v>143</v>
      </c>
      <c r="M102" s="109" t="str">
        <f t="shared" si="14"/>
        <v/>
      </c>
      <c r="N102" s="111" t="str">
        <f t="shared" si="15"/>
        <v/>
      </c>
      <c r="O102" s="109" t="s">
        <v>169</v>
      </c>
    </row>
    <row r="103" spans="1:15" ht="15" customHeight="1" x14ac:dyDescent="0.25">
      <c r="A103" s="112">
        <v>100</v>
      </c>
      <c r="B103" s="113" t="s">
        <v>83</v>
      </c>
      <c r="C103" s="112" t="s">
        <v>121</v>
      </c>
      <c r="D103" s="112" t="s">
        <v>237</v>
      </c>
      <c r="E103" s="112" t="s">
        <v>129</v>
      </c>
      <c r="F103" s="112" t="s">
        <v>310</v>
      </c>
      <c r="G103" s="112"/>
      <c r="H103" s="112" t="str">
        <f t="shared" si="12"/>
        <v/>
      </c>
      <c r="I103" s="112" t="str">
        <f t="shared" si="13"/>
        <v>In Progress</v>
      </c>
      <c r="J103" s="112" t="s">
        <v>185</v>
      </c>
      <c r="K103" s="112" t="s">
        <v>63</v>
      </c>
      <c r="L103" s="112" t="s">
        <v>127</v>
      </c>
      <c r="M103" s="112" t="str">
        <f t="shared" si="14"/>
        <v/>
      </c>
      <c r="N103" s="114" t="str">
        <f t="shared" si="15"/>
        <v/>
      </c>
      <c r="O103" s="112" t="s">
        <v>108</v>
      </c>
    </row>
    <row r="104" spans="1:15" ht="15" customHeight="1" x14ac:dyDescent="0.25">
      <c r="A104" s="109">
        <v>101</v>
      </c>
      <c r="B104" s="110" t="s">
        <v>52</v>
      </c>
      <c r="C104" s="109" t="s">
        <v>101</v>
      </c>
      <c r="D104" s="109" t="s">
        <v>302</v>
      </c>
      <c r="E104" s="109" t="s">
        <v>103</v>
      </c>
      <c r="F104" s="109" t="s">
        <v>311</v>
      </c>
      <c r="G104" s="109"/>
      <c r="H104" s="109" t="str">
        <f t="shared" si="12"/>
        <v/>
      </c>
      <c r="I104" s="109" t="str">
        <f t="shared" si="13"/>
        <v>In Progress</v>
      </c>
      <c r="J104" s="109" t="s">
        <v>214</v>
      </c>
      <c r="K104" s="109" t="s">
        <v>149</v>
      </c>
      <c r="L104" s="109" t="s">
        <v>150</v>
      </c>
      <c r="M104" s="109" t="str">
        <f t="shared" si="14"/>
        <v/>
      </c>
      <c r="N104" s="111" t="str">
        <f t="shared" si="15"/>
        <v/>
      </c>
      <c r="O104" s="109" t="s">
        <v>169</v>
      </c>
    </row>
    <row r="105" spans="1:15" ht="15" customHeight="1" x14ac:dyDescent="0.25">
      <c r="A105" s="112">
        <v>102</v>
      </c>
      <c r="B105" s="113" t="s">
        <v>57</v>
      </c>
      <c r="C105" s="112" t="s">
        <v>67</v>
      </c>
      <c r="D105" s="112" t="s">
        <v>248</v>
      </c>
      <c r="E105" s="112" t="s">
        <v>191</v>
      </c>
      <c r="F105" s="112" t="s">
        <v>312</v>
      </c>
      <c r="G105" s="112"/>
      <c r="H105" s="112" t="str">
        <f t="shared" si="12"/>
        <v/>
      </c>
      <c r="I105" s="112" t="str">
        <f t="shared" si="13"/>
        <v>In Progress</v>
      </c>
      <c r="J105" s="112" t="s">
        <v>148</v>
      </c>
      <c r="K105" s="112" t="s">
        <v>114</v>
      </c>
      <c r="L105" s="112" t="s">
        <v>115</v>
      </c>
      <c r="M105" s="112" t="str">
        <f t="shared" si="14"/>
        <v/>
      </c>
      <c r="N105" s="114" t="str">
        <f t="shared" si="15"/>
        <v/>
      </c>
      <c r="O105" s="112" t="s">
        <v>108</v>
      </c>
    </row>
    <row r="106" spans="1:15" ht="15" customHeight="1" x14ac:dyDescent="0.25">
      <c r="A106" s="109">
        <v>103</v>
      </c>
      <c r="B106" s="110" t="s">
        <v>60</v>
      </c>
      <c r="C106" s="109" t="s">
        <v>198</v>
      </c>
      <c r="D106" s="109" t="s">
        <v>176</v>
      </c>
      <c r="E106" s="109" t="s">
        <v>230</v>
      </c>
      <c r="F106" s="109" t="s">
        <v>313</v>
      </c>
      <c r="G106" s="109"/>
      <c r="H106" s="109" t="str">
        <f t="shared" si="12"/>
        <v/>
      </c>
      <c r="I106" s="109" t="str">
        <f t="shared" si="13"/>
        <v>In Progress</v>
      </c>
      <c r="J106" s="109" t="s">
        <v>242</v>
      </c>
      <c r="K106" s="109" t="s">
        <v>106</v>
      </c>
      <c r="L106" s="109" t="s">
        <v>150</v>
      </c>
      <c r="M106" s="109" t="str">
        <f t="shared" si="14"/>
        <v/>
      </c>
      <c r="N106" s="111" t="str">
        <f t="shared" si="15"/>
        <v/>
      </c>
      <c r="O106" s="109" t="s">
        <v>194</v>
      </c>
    </row>
    <row r="107" spans="1:15" ht="15" customHeight="1" x14ac:dyDescent="0.25">
      <c r="A107" s="112">
        <v>104</v>
      </c>
      <c r="B107" s="113" t="s">
        <v>64</v>
      </c>
      <c r="C107" s="112" t="s">
        <v>220</v>
      </c>
      <c r="D107" s="112" t="s">
        <v>116</v>
      </c>
      <c r="E107" s="112" t="s">
        <v>146</v>
      </c>
      <c r="F107" s="112" t="s">
        <v>314</v>
      </c>
      <c r="G107" s="112"/>
      <c r="H107" s="112" t="str">
        <f t="shared" si="12"/>
        <v/>
      </c>
      <c r="I107" s="112" t="str">
        <f t="shared" si="13"/>
        <v>In Progress</v>
      </c>
      <c r="J107" s="112" t="s">
        <v>265</v>
      </c>
      <c r="K107" s="112" t="s">
        <v>193</v>
      </c>
      <c r="L107" s="112" t="s">
        <v>127</v>
      </c>
      <c r="M107" s="112" t="str">
        <f t="shared" si="14"/>
        <v/>
      </c>
      <c r="N107" s="114" t="str">
        <f t="shared" si="15"/>
        <v/>
      </c>
      <c r="O107" s="112" t="s">
        <v>169</v>
      </c>
    </row>
    <row r="108" spans="1:15" ht="15" customHeight="1" x14ac:dyDescent="0.25">
      <c r="A108" s="109">
        <v>105</v>
      </c>
      <c r="B108" s="110" t="s">
        <v>68</v>
      </c>
      <c r="C108" s="109" t="s">
        <v>101</v>
      </c>
      <c r="D108" s="109" t="s">
        <v>116</v>
      </c>
      <c r="E108" s="109" t="s">
        <v>129</v>
      </c>
      <c r="F108" s="109" t="s">
        <v>315</v>
      </c>
      <c r="G108" s="109"/>
      <c r="H108" s="109" t="str">
        <f t="shared" si="12"/>
        <v/>
      </c>
      <c r="I108" s="109" t="str">
        <f t="shared" si="13"/>
        <v>Not Started</v>
      </c>
      <c r="J108" s="109" t="s">
        <v>168</v>
      </c>
      <c r="K108" s="109" t="s">
        <v>126</v>
      </c>
      <c r="L108" s="109" t="s">
        <v>150</v>
      </c>
      <c r="M108" s="109" t="str">
        <f t="shared" si="14"/>
        <v/>
      </c>
      <c r="N108" s="111" t="str">
        <f t="shared" si="15"/>
        <v/>
      </c>
      <c r="O108" s="109" t="s">
        <v>175</v>
      </c>
    </row>
    <row r="109" spans="1:15" ht="15" customHeight="1" x14ac:dyDescent="0.25">
      <c r="A109" s="112">
        <v>106</v>
      </c>
      <c r="B109" s="113" t="s">
        <v>70</v>
      </c>
      <c r="C109" s="112" t="s">
        <v>109</v>
      </c>
      <c r="D109" s="112" t="s">
        <v>289</v>
      </c>
      <c r="E109" s="112" t="s">
        <v>103</v>
      </c>
      <c r="F109" s="112" t="s">
        <v>316</v>
      </c>
      <c r="G109" s="112"/>
      <c r="H109" s="112" t="str">
        <f t="shared" si="12"/>
        <v/>
      </c>
      <c r="I109" s="112" t="str">
        <f t="shared" si="13"/>
        <v>Not Started</v>
      </c>
      <c r="J109" s="112" t="s">
        <v>217</v>
      </c>
      <c r="K109" s="112" t="s">
        <v>126</v>
      </c>
      <c r="L109" s="112" t="s">
        <v>127</v>
      </c>
      <c r="M109" s="112" t="str">
        <f t="shared" si="14"/>
        <v/>
      </c>
      <c r="N109" s="114" t="str">
        <f t="shared" si="15"/>
        <v/>
      </c>
      <c r="O109" s="112" t="s">
        <v>108</v>
      </c>
    </row>
    <row r="110" spans="1:15" ht="15" customHeight="1" x14ac:dyDescent="0.25">
      <c r="A110" s="109">
        <v>107</v>
      </c>
      <c r="B110" s="110" t="s">
        <v>74</v>
      </c>
      <c r="C110" s="109" t="s">
        <v>77</v>
      </c>
      <c r="D110" s="109" t="s">
        <v>110</v>
      </c>
      <c r="E110" s="109" t="s">
        <v>165</v>
      </c>
      <c r="F110" s="109" t="s">
        <v>124</v>
      </c>
      <c r="G110" s="109"/>
      <c r="H110" s="109" t="str">
        <f t="shared" si="12"/>
        <v/>
      </c>
      <c r="I110" s="109" t="str">
        <f t="shared" si="13"/>
        <v>In Progress</v>
      </c>
      <c r="J110" s="109" t="s">
        <v>197</v>
      </c>
      <c r="K110" s="109" t="s">
        <v>174</v>
      </c>
      <c r="L110" s="109" t="s">
        <v>138</v>
      </c>
      <c r="M110" s="109" t="str">
        <f t="shared" si="14"/>
        <v/>
      </c>
      <c r="N110" s="111" t="str">
        <f t="shared" si="15"/>
        <v/>
      </c>
      <c r="O110" s="109" t="s">
        <v>194</v>
      </c>
    </row>
    <row r="111" spans="1:15" ht="15" customHeight="1" x14ac:dyDescent="0.25">
      <c r="A111" s="112">
        <v>108</v>
      </c>
      <c r="B111" s="113" t="s">
        <v>78</v>
      </c>
      <c r="C111" s="112" t="s">
        <v>86</v>
      </c>
      <c r="D111" s="112" t="s">
        <v>102</v>
      </c>
      <c r="E111" s="112" t="s">
        <v>117</v>
      </c>
      <c r="F111" s="112" t="s">
        <v>279</v>
      </c>
      <c r="G111" s="112"/>
      <c r="H111" s="112" t="str">
        <f t="shared" si="12"/>
        <v/>
      </c>
      <c r="I111" s="112" t="str">
        <f t="shared" si="13"/>
        <v>Completed</v>
      </c>
      <c r="J111" s="112" t="s">
        <v>113</v>
      </c>
      <c r="K111" s="112" t="s">
        <v>56</v>
      </c>
      <c r="L111" s="112" t="s">
        <v>127</v>
      </c>
      <c r="M111" s="112" t="str">
        <f t="shared" si="14"/>
        <v/>
      </c>
      <c r="N111" s="114" t="str">
        <f t="shared" si="15"/>
        <v/>
      </c>
      <c r="O111" s="112" t="s">
        <v>108</v>
      </c>
    </row>
    <row r="112" spans="1:15" ht="15" customHeight="1" x14ac:dyDescent="0.25">
      <c r="A112" s="109">
        <v>109</v>
      </c>
      <c r="B112" s="110" t="s">
        <v>80</v>
      </c>
      <c r="C112" s="109" t="s">
        <v>144</v>
      </c>
      <c r="D112" s="109" t="s">
        <v>128</v>
      </c>
      <c r="E112" s="109" t="s">
        <v>123</v>
      </c>
      <c r="F112" s="109" t="s">
        <v>317</v>
      </c>
      <c r="G112" s="109"/>
      <c r="H112" s="109" t="str">
        <f t="shared" si="12"/>
        <v/>
      </c>
      <c r="I112" s="109" t="str">
        <f t="shared" si="13"/>
        <v>In Progress</v>
      </c>
      <c r="J112" s="109" t="s">
        <v>157</v>
      </c>
      <c r="K112" s="109" t="s">
        <v>149</v>
      </c>
      <c r="L112" s="109" t="s">
        <v>143</v>
      </c>
      <c r="M112" s="109" t="str">
        <f t="shared" si="14"/>
        <v/>
      </c>
      <c r="N112" s="111" t="str">
        <f t="shared" si="15"/>
        <v/>
      </c>
      <c r="O112" s="109" t="s">
        <v>223</v>
      </c>
    </row>
    <row r="113" spans="1:15" ht="15" customHeight="1" x14ac:dyDescent="0.25">
      <c r="A113" s="112">
        <v>110</v>
      </c>
      <c r="B113" s="113" t="s">
        <v>83</v>
      </c>
      <c r="C113" s="112" t="s">
        <v>153</v>
      </c>
      <c r="D113" s="112" t="s">
        <v>295</v>
      </c>
      <c r="E113" s="112" t="s">
        <v>129</v>
      </c>
      <c r="F113" s="112" t="s">
        <v>313</v>
      </c>
      <c r="G113" s="112"/>
      <c r="H113" s="112" t="str">
        <f t="shared" si="12"/>
        <v/>
      </c>
      <c r="I113" s="112" t="str">
        <f t="shared" si="13"/>
        <v>Not Started</v>
      </c>
      <c r="J113" s="112" t="s">
        <v>125</v>
      </c>
      <c r="K113" s="112" t="s">
        <v>114</v>
      </c>
      <c r="L113" s="112" t="s">
        <v>107</v>
      </c>
      <c r="M113" s="112" t="str">
        <f t="shared" si="14"/>
        <v/>
      </c>
      <c r="N113" s="114" t="str">
        <f t="shared" si="15"/>
        <v/>
      </c>
      <c r="O113" s="112" t="s">
        <v>175</v>
      </c>
    </row>
    <row r="114" spans="1:15" ht="15" customHeight="1" x14ac:dyDescent="0.25">
      <c r="A114" s="109">
        <v>111</v>
      </c>
      <c r="B114" s="110" t="s">
        <v>52</v>
      </c>
      <c r="C114" s="109" t="s">
        <v>182</v>
      </c>
      <c r="D114" s="109" t="s">
        <v>110</v>
      </c>
      <c r="E114" s="109" t="s">
        <v>205</v>
      </c>
      <c r="F114" s="109" t="s">
        <v>318</v>
      </c>
      <c r="G114" s="109"/>
      <c r="H114" s="109" t="str">
        <f t="shared" ref="H114:H145" si="16">IF(OR(F114="",G114=""),"",G114-F114)</f>
        <v/>
      </c>
      <c r="I114" s="109" t="str">
        <f t="shared" ref="I114:I145" si="17">IFERROR(IF(VALUE(SUBSTITUTE(SUBSTITUTE(J114,"%","")," ",""))&lt;=0,"Not Started",IF(VALUE(SUBSTITUTE(SUBSTITUTE(J114,"%","")," ",""))&gt;=100,"Completed","In Progress")),"Not Started")</f>
        <v>In Progress</v>
      </c>
      <c r="J114" s="109" t="s">
        <v>137</v>
      </c>
      <c r="K114" s="109" t="s">
        <v>120</v>
      </c>
      <c r="L114" s="109" t="s">
        <v>150</v>
      </c>
      <c r="M114" s="109" t="str">
        <f t="shared" ref="M114:M145" si="18">IF(H114="","",H114*8)</f>
        <v/>
      </c>
      <c r="N114" s="111" t="str">
        <f t="shared" ref="N114:N145" si="19">IF(OR(L114="",H114=""),"",L114*H114)</f>
        <v/>
      </c>
      <c r="O114" s="109" t="s">
        <v>151</v>
      </c>
    </row>
    <row r="115" spans="1:15" ht="15" customHeight="1" x14ac:dyDescent="0.25">
      <c r="A115" s="112">
        <v>112</v>
      </c>
      <c r="B115" s="113" t="s">
        <v>57</v>
      </c>
      <c r="C115" s="112" t="s">
        <v>86</v>
      </c>
      <c r="D115" s="112" t="s">
        <v>261</v>
      </c>
      <c r="E115" s="112" t="s">
        <v>191</v>
      </c>
      <c r="F115" s="112" t="s">
        <v>319</v>
      </c>
      <c r="G115" s="112"/>
      <c r="H115" s="112" t="str">
        <f t="shared" si="16"/>
        <v/>
      </c>
      <c r="I115" s="112" t="str">
        <f t="shared" si="17"/>
        <v>Completed</v>
      </c>
      <c r="J115" s="112" t="s">
        <v>113</v>
      </c>
      <c r="K115" s="112" t="s">
        <v>210</v>
      </c>
      <c r="L115" s="112" t="s">
        <v>143</v>
      </c>
      <c r="M115" s="112" t="str">
        <f t="shared" si="18"/>
        <v/>
      </c>
      <c r="N115" s="114" t="str">
        <f t="shared" si="19"/>
        <v/>
      </c>
      <c r="O115" s="112" t="s">
        <v>108</v>
      </c>
    </row>
    <row r="116" spans="1:15" ht="15" customHeight="1" x14ac:dyDescent="0.25">
      <c r="A116" s="109">
        <v>113</v>
      </c>
      <c r="B116" s="110" t="s">
        <v>60</v>
      </c>
      <c r="C116" s="109" t="s">
        <v>101</v>
      </c>
      <c r="D116" s="109" t="s">
        <v>278</v>
      </c>
      <c r="E116" s="109" t="s">
        <v>171</v>
      </c>
      <c r="F116" s="109" t="s">
        <v>249</v>
      </c>
      <c r="G116" s="109"/>
      <c r="H116" s="109" t="str">
        <f t="shared" si="16"/>
        <v/>
      </c>
      <c r="I116" s="109" t="str">
        <f t="shared" si="17"/>
        <v>Completed</v>
      </c>
      <c r="J116" s="109" t="s">
        <v>131</v>
      </c>
      <c r="K116" s="109" t="s">
        <v>114</v>
      </c>
      <c r="L116" s="109" t="s">
        <v>150</v>
      </c>
      <c r="M116" s="109" t="str">
        <f t="shared" si="18"/>
        <v/>
      </c>
      <c r="N116" s="111" t="str">
        <f t="shared" si="19"/>
        <v/>
      </c>
      <c r="O116" s="109" t="s">
        <v>175</v>
      </c>
    </row>
    <row r="117" spans="1:15" ht="15" customHeight="1" x14ac:dyDescent="0.25">
      <c r="A117" s="112">
        <v>114</v>
      </c>
      <c r="B117" s="113" t="s">
        <v>64</v>
      </c>
      <c r="C117" s="112" t="s">
        <v>153</v>
      </c>
      <c r="D117" s="112" t="s">
        <v>145</v>
      </c>
      <c r="E117" s="112" t="s">
        <v>146</v>
      </c>
      <c r="F117" s="112" t="s">
        <v>320</v>
      </c>
      <c r="G117" s="112"/>
      <c r="H117" s="112" t="str">
        <f t="shared" si="16"/>
        <v/>
      </c>
      <c r="I117" s="112" t="str">
        <f t="shared" si="17"/>
        <v>In Progress</v>
      </c>
      <c r="J117" s="112" t="s">
        <v>148</v>
      </c>
      <c r="K117" s="112" t="s">
        <v>210</v>
      </c>
      <c r="L117" s="112" t="s">
        <v>115</v>
      </c>
      <c r="M117" s="112" t="str">
        <f t="shared" si="18"/>
        <v/>
      </c>
      <c r="N117" s="114" t="str">
        <f t="shared" si="19"/>
        <v/>
      </c>
      <c r="O117" s="112" t="s">
        <v>223</v>
      </c>
    </row>
    <row r="118" spans="1:15" ht="15" customHeight="1" x14ac:dyDescent="0.25">
      <c r="A118" s="109">
        <v>115</v>
      </c>
      <c r="B118" s="110" t="s">
        <v>68</v>
      </c>
      <c r="C118" s="109" t="s">
        <v>198</v>
      </c>
      <c r="D118" s="109" t="s">
        <v>140</v>
      </c>
      <c r="E118" s="109" t="s">
        <v>129</v>
      </c>
      <c r="F118" s="109" t="s">
        <v>288</v>
      </c>
      <c r="G118" s="109"/>
      <c r="H118" s="109" t="str">
        <f t="shared" si="16"/>
        <v/>
      </c>
      <c r="I118" s="109" t="str">
        <f t="shared" si="17"/>
        <v>In Progress</v>
      </c>
      <c r="J118" s="109" t="s">
        <v>161</v>
      </c>
      <c r="K118" s="109" t="s">
        <v>106</v>
      </c>
      <c r="L118" s="109" t="s">
        <v>143</v>
      </c>
      <c r="M118" s="109" t="str">
        <f t="shared" si="18"/>
        <v/>
      </c>
      <c r="N118" s="111" t="str">
        <f t="shared" si="19"/>
        <v/>
      </c>
      <c r="O118" s="109" t="s">
        <v>239</v>
      </c>
    </row>
    <row r="119" spans="1:15" ht="15" customHeight="1" x14ac:dyDescent="0.25">
      <c r="A119" s="112">
        <v>116</v>
      </c>
      <c r="B119" s="113" t="s">
        <v>70</v>
      </c>
      <c r="C119" s="112" t="s">
        <v>220</v>
      </c>
      <c r="D119" s="112" t="s">
        <v>302</v>
      </c>
      <c r="E119" s="112" t="s">
        <v>135</v>
      </c>
      <c r="F119" s="112" t="s">
        <v>321</v>
      </c>
      <c r="G119" s="112"/>
      <c r="H119" s="112" t="str">
        <f t="shared" si="16"/>
        <v/>
      </c>
      <c r="I119" s="112" t="str">
        <f t="shared" si="17"/>
        <v>In Progress</v>
      </c>
      <c r="J119" s="112" t="s">
        <v>148</v>
      </c>
      <c r="K119" s="112" t="s">
        <v>114</v>
      </c>
      <c r="L119" s="112" t="s">
        <v>143</v>
      </c>
      <c r="M119" s="112" t="str">
        <f t="shared" si="18"/>
        <v/>
      </c>
      <c r="N119" s="114" t="str">
        <f t="shared" si="19"/>
        <v/>
      </c>
      <c r="O119" s="112" t="s">
        <v>169</v>
      </c>
    </row>
    <row r="120" spans="1:15" ht="15" customHeight="1" x14ac:dyDescent="0.25">
      <c r="A120" s="109">
        <v>117</v>
      </c>
      <c r="B120" s="110" t="s">
        <v>74</v>
      </c>
      <c r="C120" s="109" t="s">
        <v>101</v>
      </c>
      <c r="D120" s="109" t="s">
        <v>248</v>
      </c>
      <c r="E120" s="109" t="s">
        <v>165</v>
      </c>
      <c r="F120" s="109" t="s">
        <v>322</v>
      </c>
      <c r="G120" s="109"/>
      <c r="H120" s="109" t="str">
        <f t="shared" si="16"/>
        <v/>
      </c>
      <c r="I120" s="109" t="str">
        <f t="shared" si="17"/>
        <v>In Progress</v>
      </c>
      <c r="J120" s="109" t="s">
        <v>214</v>
      </c>
      <c r="K120" s="109" t="s">
        <v>56</v>
      </c>
      <c r="L120" s="109" t="s">
        <v>107</v>
      </c>
      <c r="M120" s="109" t="str">
        <f t="shared" si="18"/>
        <v/>
      </c>
      <c r="N120" s="111" t="str">
        <f t="shared" si="19"/>
        <v/>
      </c>
      <c r="O120" s="109" t="s">
        <v>186</v>
      </c>
    </row>
    <row r="121" spans="1:15" ht="15" customHeight="1" x14ac:dyDescent="0.25">
      <c r="A121" s="112">
        <v>118</v>
      </c>
      <c r="B121" s="113" t="s">
        <v>78</v>
      </c>
      <c r="C121" s="112" t="s">
        <v>133</v>
      </c>
      <c r="D121" s="112" t="s">
        <v>212</v>
      </c>
      <c r="E121" s="112" t="s">
        <v>117</v>
      </c>
      <c r="F121" s="112" t="s">
        <v>323</v>
      </c>
      <c r="G121" s="112"/>
      <c r="H121" s="112" t="str">
        <f t="shared" si="16"/>
        <v/>
      </c>
      <c r="I121" s="112" t="str">
        <f t="shared" si="17"/>
        <v>In Progress</v>
      </c>
      <c r="J121" s="112" t="s">
        <v>119</v>
      </c>
      <c r="K121" s="112" t="s">
        <v>158</v>
      </c>
      <c r="L121" s="112" t="s">
        <v>127</v>
      </c>
      <c r="M121" s="112" t="str">
        <f t="shared" si="18"/>
        <v/>
      </c>
      <c r="N121" s="114" t="str">
        <f t="shared" si="19"/>
        <v/>
      </c>
      <c r="O121" s="112" t="s">
        <v>151</v>
      </c>
    </row>
    <row r="122" spans="1:15" ht="15" customHeight="1" x14ac:dyDescent="0.25">
      <c r="A122" s="109">
        <v>119</v>
      </c>
      <c r="B122" s="110" t="s">
        <v>80</v>
      </c>
      <c r="C122" s="109" t="s">
        <v>218</v>
      </c>
      <c r="D122" s="109" t="s">
        <v>304</v>
      </c>
      <c r="E122" s="109" t="s">
        <v>123</v>
      </c>
      <c r="F122" s="109" t="s">
        <v>130</v>
      </c>
      <c r="G122" s="109"/>
      <c r="H122" s="109" t="str">
        <f t="shared" si="16"/>
        <v/>
      </c>
      <c r="I122" s="109" t="str">
        <f t="shared" si="17"/>
        <v>Completed</v>
      </c>
      <c r="J122" s="109" t="s">
        <v>113</v>
      </c>
      <c r="K122" s="109" t="s">
        <v>174</v>
      </c>
      <c r="L122" s="109" t="s">
        <v>115</v>
      </c>
      <c r="M122" s="109" t="str">
        <f t="shared" si="18"/>
        <v/>
      </c>
      <c r="N122" s="111" t="str">
        <f t="shared" si="19"/>
        <v/>
      </c>
      <c r="O122" s="109" t="s">
        <v>223</v>
      </c>
    </row>
    <row r="123" spans="1:15" ht="15" customHeight="1" x14ac:dyDescent="0.25">
      <c r="A123" s="112">
        <v>120</v>
      </c>
      <c r="B123" s="113" t="s">
        <v>83</v>
      </c>
      <c r="C123" s="112" t="s">
        <v>86</v>
      </c>
      <c r="D123" s="112" t="s">
        <v>164</v>
      </c>
      <c r="E123" s="112" t="s">
        <v>129</v>
      </c>
      <c r="F123" s="112" t="s">
        <v>324</v>
      </c>
      <c r="G123" s="112"/>
      <c r="H123" s="112" t="str">
        <f t="shared" si="16"/>
        <v/>
      </c>
      <c r="I123" s="112" t="str">
        <f t="shared" si="17"/>
        <v>Completed</v>
      </c>
      <c r="J123" s="112" t="s">
        <v>113</v>
      </c>
      <c r="K123" s="112" t="s">
        <v>63</v>
      </c>
      <c r="L123" s="112" t="s">
        <v>132</v>
      </c>
      <c r="M123" s="112" t="str">
        <f t="shared" si="18"/>
        <v/>
      </c>
      <c r="N123" s="114" t="str">
        <f t="shared" si="19"/>
        <v/>
      </c>
      <c r="O123" s="112" t="s">
        <v>108</v>
      </c>
    </row>
    <row r="124" spans="1:15" ht="15" customHeight="1" x14ac:dyDescent="0.25">
      <c r="A124" s="109">
        <v>121</v>
      </c>
      <c r="B124" s="110" t="s">
        <v>52</v>
      </c>
      <c r="C124" s="109" t="s">
        <v>144</v>
      </c>
      <c r="D124" s="109" t="s">
        <v>190</v>
      </c>
      <c r="E124" s="109" t="s">
        <v>205</v>
      </c>
      <c r="F124" s="109" t="s">
        <v>124</v>
      </c>
      <c r="G124" s="109"/>
      <c r="H124" s="109" t="str">
        <f t="shared" si="16"/>
        <v/>
      </c>
      <c r="I124" s="109" t="str">
        <f t="shared" si="17"/>
        <v>In Progress</v>
      </c>
      <c r="J124" s="109" t="s">
        <v>246</v>
      </c>
      <c r="K124" s="109" t="s">
        <v>73</v>
      </c>
      <c r="L124" s="109" t="s">
        <v>127</v>
      </c>
      <c r="M124" s="109" t="str">
        <f t="shared" si="18"/>
        <v/>
      </c>
      <c r="N124" s="111" t="str">
        <f t="shared" si="19"/>
        <v/>
      </c>
      <c r="O124" s="109" t="s">
        <v>108</v>
      </c>
    </row>
    <row r="125" spans="1:15" ht="15" customHeight="1" x14ac:dyDescent="0.25">
      <c r="A125" s="112">
        <v>122</v>
      </c>
      <c r="B125" s="113" t="s">
        <v>57</v>
      </c>
      <c r="C125" s="112" t="s">
        <v>109</v>
      </c>
      <c r="D125" s="112" t="s">
        <v>187</v>
      </c>
      <c r="E125" s="112" t="s">
        <v>165</v>
      </c>
      <c r="F125" s="112" t="s">
        <v>325</v>
      </c>
      <c r="G125" s="112"/>
      <c r="H125" s="112" t="str">
        <f t="shared" si="16"/>
        <v/>
      </c>
      <c r="I125" s="112" t="str">
        <f t="shared" si="17"/>
        <v>In Progress</v>
      </c>
      <c r="J125" s="112" t="s">
        <v>105</v>
      </c>
      <c r="K125" s="112" t="s">
        <v>73</v>
      </c>
      <c r="L125" s="112" t="s">
        <v>115</v>
      </c>
      <c r="M125" s="112" t="str">
        <f t="shared" si="18"/>
        <v/>
      </c>
      <c r="N125" s="114" t="str">
        <f t="shared" si="19"/>
        <v/>
      </c>
      <c r="O125" s="112" t="s">
        <v>108</v>
      </c>
    </row>
    <row r="126" spans="1:15" ht="15" customHeight="1" x14ac:dyDescent="0.25">
      <c r="A126" s="109">
        <v>123</v>
      </c>
      <c r="B126" s="110" t="s">
        <v>60</v>
      </c>
      <c r="C126" s="109" t="s">
        <v>198</v>
      </c>
      <c r="D126" s="109" t="s">
        <v>257</v>
      </c>
      <c r="E126" s="109" t="s">
        <v>230</v>
      </c>
      <c r="F126" s="109" t="s">
        <v>247</v>
      </c>
      <c r="G126" s="109"/>
      <c r="H126" s="109" t="str">
        <f t="shared" si="16"/>
        <v/>
      </c>
      <c r="I126" s="109" t="str">
        <f t="shared" si="17"/>
        <v>In Progress</v>
      </c>
      <c r="J126" s="109" t="s">
        <v>161</v>
      </c>
      <c r="K126" s="109" t="s">
        <v>158</v>
      </c>
      <c r="L126" s="109" t="s">
        <v>150</v>
      </c>
      <c r="M126" s="109" t="str">
        <f t="shared" si="18"/>
        <v/>
      </c>
      <c r="N126" s="111" t="str">
        <f t="shared" si="19"/>
        <v/>
      </c>
      <c r="O126" s="109" t="s">
        <v>186</v>
      </c>
    </row>
    <row r="127" spans="1:15" ht="15" customHeight="1" x14ac:dyDescent="0.25">
      <c r="A127" s="112">
        <v>124</v>
      </c>
      <c r="B127" s="113" t="s">
        <v>64</v>
      </c>
      <c r="C127" s="112" t="s">
        <v>220</v>
      </c>
      <c r="D127" s="112" t="s">
        <v>190</v>
      </c>
      <c r="E127" s="112" t="s">
        <v>252</v>
      </c>
      <c r="F127" s="112" t="s">
        <v>298</v>
      </c>
      <c r="G127" s="112"/>
      <c r="H127" s="112" t="str">
        <f t="shared" si="16"/>
        <v/>
      </c>
      <c r="I127" s="112" t="str">
        <f t="shared" si="17"/>
        <v>In Progress</v>
      </c>
      <c r="J127" s="112" t="s">
        <v>209</v>
      </c>
      <c r="K127" s="112" t="s">
        <v>149</v>
      </c>
      <c r="L127" s="112" t="s">
        <v>138</v>
      </c>
      <c r="M127" s="112" t="str">
        <f t="shared" si="18"/>
        <v/>
      </c>
      <c r="N127" s="114" t="str">
        <f t="shared" si="19"/>
        <v/>
      </c>
      <c r="O127" s="112" t="s">
        <v>223</v>
      </c>
    </row>
    <row r="128" spans="1:15" ht="15" customHeight="1" x14ac:dyDescent="0.25">
      <c r="A128" s="109">
        <v>125</v>
      </c>
      <c r="B128" s="110" t="s">
        <v>68</v>
      </c>
      <c r="C128" s="109" t="s">
        <v>203</v>
      </c>
      <c r="D128" s="109" t="s">
        <v>229</v>
      </c>
      <c r="E128" s="109" t="s">
        <v>129</v>
      </c>
      <c r="F128" s="109" t="s">
        <v>326</v>
      </c>
      <c r="G128" s="109"/>
      <c r="H128" s="109" t="str">
        <f t="shared" si="16"/>
        <v/>
      </c>
      <c r="I128" s="109" t="str">
        <f t="shared" si="17"/>
        <v>In Progress</v>
      </c>
      <c r="J128" s="109" t="s">
        <v>242</v>
      </c>
      <c r="K128" s="109" t="s">
        <v>126</v>
      </c>
      <c r="L128" s="109" t="s">
        <v>115</v>
      </c>
      <c r="M128" s="109" t="str">
        <f t="shared" si="18"/>
        <v/>
      </c>
      <c r="N128" s="111" t="str">
        <f t="shared" si="19"/>
        <v/>
      </c>
      <c r="O128" s="109" t="s">
        <v>108</v>
      </c>
    </row>
    <row r="129" spans="1:15" ht="15" customHeight="1" x14ac:dyDescent="0.25">
      <c r="A129" s="112">
        <v>126</v>
      </c>
      <c r="B129" s="113" t="s">
        <v>70</v>
      </c>
      <c r="C129" s="112" t="s">
        <v>133</v>
      </c>
      <c r="D129" s="112" t="s">
        <v>128</v>
      </c>
      <c r="E129" s="112" t="s">
        <v>205</v>
      </c>
      <c r="F129" s="112" t="s">
        <v>327</v>
      </c>
      <c r="G129" s="112"/>
      <c r="H129" s="112" t="str">
        <f t="shared" si="16"/>
        <v/>
      </c>
      <c r="I129" s="112" t="str">
        <f t="shared" si="17"/>
        <v>In Progress</v>
      </c>
      <c r="J129" s="112" t="s">
        <v>185</v>
      </c>
      <c r="K129" s="112" t="s">
        <v>126</v>
      </c>
      <c r="L129" s="112" t="s">
        <v>138</v>
      </c>
      <c r="M129" s="112" t="str">
        <f t="shared" si="18"/>
        <v/>
      </c>
      <c r="N129" s="114" t="str">
        <f t="shared" si="19"/>
        <v/>
      </c>
      <c r="O129" s="112" t="s">
        <v>186</v>
      </c>
    </row>
    <row r="130" spans="1:15" ht="15" customHeight="1" x14ac:dyDescent="0.25">
      <c r="A130" s="109">
        <v>127</v>
      </c>
      <c r="B130" s="110" t="s">
        <v>74</v>
      </c>
      <c r="C130" s="109" t="s">
        <v>77</v>
      </c>
      <c r="D130" s="109" t="s">
        <v>122</v>
      </c>
      <c r="E130" s="109" t="s">
        <v>191</v>
      </c>
      <c r="F130" s="109" t="s">
        <v>328</v>
      </c>
      <c r="G130" s="109"/>
      <c r="H130" s="109" t="str">
        <f t="shared" si="16"/>
        <v/>
      </c>
      <c r="I130" s="109" t="str">
        <f t="shared" si="17"/>
        <v>In Progress</v>
      </c>
      <c r="J130" s="109" t="s">
        <v>265</v>
      </c>
      <c r="K130" s="109" t="s">
        <v>114</v>
      </c>
      <c r="L130" s="109" t="s">
        <v>107</v>
      </c>
      <c r="M130" s="109" t="str">
        <f t="shared" si="18"/>
        <v/>
      </c>
      <c r="N130" s="111" t="str">
        <f t="shared" si="19"/>
        <v/>
      </c>
      <c r="O130" s="109" t="s">
        <v>223</v>
      </c>
    </row>
    <row r="131" spans="1:15" ht="15" customHeight="1" x14ac:dyDescent="0.25">
      <c r="A131" s="112">
        <v>128</v>
      </c>
      <c r="B131" s="113" t="s">
        <v>78</v>
      </c>
      <c r="C131" s="112" t="s">
        <v>220</v>
      </c>
      <c r="D131" s="112" t="s">
        <v>295</v>
      </c>
      <c r="E131" s="112" t="s">
        <v>230</v>
      </c>
      <c r="F131" s="112" t="s">
        <v>329</v>
      </c>
      <c r="G131" s="112"/>
      <c r="H131" s="112" t="str">
        <f t="shared" si="16"/>
        <v/>
      </c>
      <c r="I131" s="112" t="str">
        <f t="shared" si="17"/>
        <v>In Progress</v>
      </c>
      <c r="J131" s="112" t="s">
        <v>157</v>
      </c>
      <c r="K131" s="112" t="s">
        <v>56</v>
      </c>
      <c r="L131" s="112" t="s">
        <v>127</v>
      </c>
      <c r="M131" s="112" t="str">
        <f t="shared" si="18"/>
        <v/>
      </c>
      <c r="N131" s="114" t="str">
        <f t="shared" si="19"/>
        <v/>
      </c>
      <c r="O131" s="112" t="s">
        <v>175</v>
      </c>
    </row>
    <row r="132" spans="1:15" ht="15" customHeight="1" x14ac:dyDescent="0.25">
      <c r="A132" s="109">
        <v>129</v>
      </c>
      <c r="B132" s="110" t="s">
        <v>80</v>
      </c>
      <c r="C132" s="109" t="s">
        <v>144</v>
      </c>
      <c r="D132" s="109" t="s">
        <v>330</v>
      </c>
      <c r="E132" s="109" t="s">
        <v>123</v>
      </c>
      <c r="F132" s="109" t="s">
        <v>331</v>
      </c>
      <c r="G132" s="109"/>
      <c r="H132" s="109" t="str">
        <f t="shared" si="16"/>
        <v/>
      </c>
      <c r="I132" s="109" t="str">
        <f t="shared" si="17"/>
        <v>In Progress</v>
      </c>
      <c r="J132" s="109" t="s">
        <v>242</v>
      </c>
      <c r="K132" s="109" t="s">
        <v>174</v>
      </c>
      <c r="L132" s="109" t="s">
        <v>150</v>
      </c>
      <c r="M132" s="109" t="str">
        <f t="shared" si="18"/>
        <v/>
      </c>
      <c r="N132" s="111" t="str">
        <f t="shared" si="19"/>
        <v/>
      </c>
      <c r="O132" s="109" t="s">
        <v>108</v>
      </c>
    </row>
    <row r="133" spans="1:15" ht="15" customHeight="1" x14ac:dyDescent="0.25">
      <c r="A133" s="112">
        <v>130</v>
      </c>
      <c r="B133" s="113" t="s">
        <v>83</v>
      </c>
      <c r="C133" s="112" t="s">
        <v>67</v>
      </c>
      <c r="D133" s="112" t="s">
        <v>145</v>
      </c>
      <c r="E133" s="112" t="s">
        <v>129</v>
      </c>
      <c r="F133" s="112" t="s">
        <v>332</v>
      </c>
      <c r="G133" s="112"/>
      <c r="H133" s="112" t="str">
        <f t="shared" si="16"/>
        <v/>
      </c>
      <c r="I133" s="112" t="str">
        <f t="shared" si="17"/>
        <v>In Progress</v>
      </c>
      <c r="J133" s="112" t="s">
        <v>137</v>
      </c>
      <c r="K133" s="112" t="s">
        <v>126</v>
      </c>
      <c r="L133" s="112" t="s">
        <v>138</v>
      </c>
      <c r="M133" s="112" t="str">
        <f t="shared" si="18"/>
        <v/>
      </c>
      <c r="N133" s="114" t="str">
        <f t="shared" si="19"/>
        <v/>
      </c>
      <c r="O133" s="112" t="s">
        <v>162</v>
      </c>
    </row>
    <row r="134" spans="1:15" ht="15" customHeight="1" x14ac:dyDescent="0.25">
      <c r="A134" s="109">
        <v>131</v>
      </c>
      <c r="B134" s="110" t="s">
        <v>52</v>
      </c>
      <c r="C134" s="109" t="s">
        <v>218</v>
      </c>
      <c r="D134" s="109" t="s">
        <v>154</v>
      </c>
      <c r="E134" s="109" t="s">
        <v>135</v>
      </c>
      <c r="F134" s="109" t="s">
        <v>273</v>
      </c>
      <c r="G134" s="109"/>
      <c r="H134" s="109" t="str">
        <f t="shared" si="16"/>
        <v/>
      </c>
      <c r="I134" s="109" t="str">
        <f t="shared" si="17"/>
        <v>In Progress</v>
      </c>
      <c r="J134" s="109" t="s">
        <v>282</v>
      </c>
      <c r="K134" s="109" t="s">
        <v>114</v>
      </c>
      <c r="L134" s="109" t="s">
        <v>107</v>
      </c>
      <c r="M134" s="109" t="str">
        <f t="shared" si="18"/>
        <v/>
      </c>
      <c r="N134" s="111" t="str">
        <f t="shared" si="19"/>
        <v/>
      </c>
      <c r="O134" s="109" t="s">
        <v>223</v>
      </c>
    </row>
    <row r="135" spans="1:15" ht="15" customHeight="1" x14ac:dyDescent="0.25">
      <c r="A135" s="112">
        <v>132</v>
      </c>
      <c r="B135" s="113" t="s">
        <v>57</v>
      </c>
      <c r="C135" s="112" t="s">
        <v>121</v>
      </c>
      <c r="D135" s="112" t="s">
        <v>212</v>
      </c>
      <c r="E135" s="112" t="s">
        <v>165</v>
      </c>
      <c r="F135" s="112" t="s">
        <v>333</v>
      </c>
      <c r="G135" s="112"/>
      <c r="H135" s="112" t="str">
        <f t="shared" si="16"/>
        <v/>
      </c>
      <c r="I135" s="112" t="str">
        <f t="shared" si="17"/>
        <v>In Progress</v>
      </c>
      <c r="J135" s="112" t="s">
        <v>307</v>
      </c>
      <c r="K135" s="112" t="s">
        <v>114</v>
      </c>
      <c r="L135" s="112" t="s">
        <v>150</v>
      </c>
      <c r="M135" s="112" t="str">
        <f t="shared" si="18"/>
        <v/>
      </c>
      <c r="N135" s="114" t="str">
        <f t="shared" si="19"/>
        <v/>
      </c>
      <c r="O135" s="112" t="s">
        <v>169</v>
      </c>
    </row>
    <row r="136" spans="1:15" ht="15" customHeight="1" x14ac:dyDescent="0.25">
      <c r="A136" s="109">
        <v>133</v>
      </c>
      <c r="B136" s="110" t="s">
        <v>60</v>
      </c>
      <c r="C136" s="109" t="s">
        <v>55</v>
      </c>
      <c r="D136" s="109" t="s">
        <v>183</v>
      </c>
      <c r="E136" s="109" t="s">
        <v>230</v>
      </c>
      <c r="F136" s="109" t="s">
        <v>334</v>
      </c>
      <c r="G136" s="109"/>
      <c r="H136" s="109" t="str">
        <f t="shared" si="16"/>
        <v/>
      </c>
      <c r="I136" s="109" t="str">
        <f t="shared" si="17"/>
        <v>In Progress</v>
      </c>
      <c r="J136" s="109" t="s">
        <v>235</v>
      </c>
      <c r="K136" s="109" t="s">
        <v>210</v>
      </c>
      <c r="L136" s="109" t="s">
        <v>115</v>
      </c>
      <c r="M136" s="109" t="str">
        <f t="shared" si="18"/>
        <v/>
      </c>
      <c r="N136" s="111" t="str">
        <f t="shared" si="19"/>
        <v/>
      </c>
      <c r="O136" s="109" t="s">
        <v>186</v>
      </c>
    </row>
    <row r="137" spans="1:15" ht="15" customHeight="1" x14ac:dyDescent="0.25">
      <c r="A137" s="112">
        <v>134</v>
      </c>
      <c r="B137" s="113" t="s">
        <v>64</v>
      </c>
      <c r="C137" s="112" t="s">
        <v>109</v>
      </c>
      <c r="D137" s="112" t="s">
        <v>244</v>
      </c>
      <c r="E137" s="112" t="s">
        <v>123</v>
      </c>
      <c r="F137" s="112" t="s">
        <v>335</v>
      </c>
      <c r="G137" s="112"/>
      <c r="H137" s="112" t="str">
        <f t="shared" si="16"/>
        <v/>
      </c>
      <c r="I137" s="112" t="str">
        <f t="shared" si="17"/>
        <v>In Progress</v>
      </c>
      <c r="J137" s="112" t="s">
        <v>246</v>
      </c>
      <c r="K137" s="112" t="s">
        <v>120</v>
      </c>
      <c r="L137" s="112" t="s">
        <v>107</v>
      </c>
      <c r="M137" s="112" t="str">
        <f t="shared" si="18"/>
        <v/>
      </c>
      <c r="N137" s="114" t="str">
        <f t="shared" si="19"/>
        <v/>
      </c>
      <c r="O137" s="112" t="s">
        <v>169</v>
      </c>
    </row>
    <row r="138" spans="1:15" ht="15" customHeight="1" x14ac:dyDescent="0.25">
      <c r="A138" s="109">
        <v>135</v>
      </c>
      <c r="B138" s="110" t="s">
        <v>68</v>
      </c>
      <c r="C138" s="109" t="s">
        <v>77</v>
      </c>
      <c r="D138" s="109" t="s">
        <v>164</v>
      </c>
      <c r="E138" s="109" t="s">
        <v>155</v>
      </c>
      <c r="F138" s="109" t="s">
        <v>336</v>
      </c>
      <c r="G138" s="109"/>
      <c r="H138" s="109" t="str">
        <f t="shared" si="16"/>
        <v/>
      </c>
      <c r="I138" s="109" t="str">
        <f t="shared" si="17"/>
        <v>In Progress</v>
      </c>
      <c r="J138" s="109" t="s">
        <v>161</v>
      </c>
      <c r="K138" s="109" t="s">
        <v>73</v>
      </c>
      <c r="L138" s="109" t="s">
        <v>132</v>
      </c>
      <c r="M138" s="109" t="str">
        <f t="shared" si="18"/>
        <v/>
      </c>
      <c r="N138" s="111" t="str">
        <f t="shared" si="19"/>
        <v/>
      </c>
      <c r="O138" s="109" t="s">
        <v>186</v>
      </c>
    </row>
    <row r="139" spans="1:15" ht="15" customHeight="1" x14ac:dyDescent="0.25">
      <c r="A139" s="112">
        <v>136</v>
      </c>
      <c r="B139" s="113" t="s">
        <v>70</v>
      </c>
      <c r="C139" s="112" t="s">
        <v>220</v>
      </c>
      <c r="D139" s="112" t="s">
        <v>102</v>
      </c>
      <c r="E139" s="112" t="s">
        <v>205</v>
      </c>
      <c r="F139" s="112" t="s">
        <v>337</v>
      </c>
      <c r="G139" s="112"/>
      <c r="H139" s="112" t="str">
        <f t="shared" si="16"/>
        <v/>
      </c>
      <c r="I139" s="112" t="str">
        <f t="shared" si="17"/>
        <v>In Progress</v>
      </c>
      <c r="J139" s="112" t="s">
        <v>303</v>
      </c>
      <c r="K139" s="112" t="s">
        <v>193</v>
      </c>
      <c r="L139" s="112" t="s">
        <v>143</v>
      </c>
      <c r="M139" s="112" t="str">
        <f t="shared" si="18"/>
        <v/>
      </c>
      <c r="N139" s="114" t="str">
        <f t="shared" si="19"/>
        <v/>
      </c>
      <c r="O139" s="112" t="s">
        <v>186</v>
      </c>
    </row>
    <row r="140" spans="1:15" ht="15" customHeight="1" x14ac:dyDescent="0.25">
      <c r="A140" s="109">
        <v>137</v>
      </c>
      <c r="B140" s="110" t="s">
        <v>74</v>
      </c>
      <c r="C140" s="109" t="s">
        <v>55</v>
      </c>
      <c r="D140" s="109" t="s">
        <v>338</v>
      </c>
      <c r="E140" s="109" t="s">
        <v>111</v>
      </c>
      <c r="F140" s="109" t="s">
        <v>325</v>
      </c>
      <c r="G140" s="109"/>
      <c r="H140" s="109" t="str">
        <f t="shared" si="16"/>
        <v/>
      </c>
      <c r="I140" s="109" t="str">
        <f t="shared" si="17"/>
        <v>In Progress</v>
      </c>
      <c r="J140" s="109" t="s">
        <v>303</v>
      </c>
      <c r="K140" s="109" t="s">
        <v>174</v>
      </c>
      <c r="L140" s="109" t="s">
        <v>143</v>
      </c>
      <c r="M140" s="109" t="str">
        <f t="shared" si="18"/>
        <v/>
      </c>
      <c r="N140" s="111" t="str">
        <f t="shared" si="19"/>
        <v/>
      </c>
      <c r="O140" s="109" t="s">
        <v>108</v>
      </c>
    </row>
    <row r="141" spans="1:15" ht="15" customHeight="1" x14ac:dyDescent="0.25">
      <c r="A141" s="112">
        <v>138</v>
      </c>
      <c r="B141" s="113" t="s">
        <v>78</v>
      </c>
      <c r="C141" s="112" t="s">
        <v>67</v>
      </c>
      <c r="D141" s="112" t="s">
        <v>102</v>
      </c>
      <c r="E141" s="112" t="s">
        <v>171</v>
      </c>
      <c r="F141" s="112" t="s">
        <v>339</v>
      </c>
      <c r="G141" s="112"/>
      <c r="H141" s="112" t="str">
        <f t="shared" si="16"/>
        <v/>
      </c>
      <c r="I141" s="112" t="str">
        <f t="shared" si="17"/>
        <v>In Progress</v>
      </c>
      <c r="J141" s="112" t="s">
        <v>303</v>
      </c>
      <c r="K141" s="112" t="s">
        <v>193</v>
      </c>
      <c r="L141" s="112" t="s">
        <v>127</v>
      </c>
      <c r="M141" s="112" t="str">
        <f t="shared" si="18"/>
        <v/>
      </c>
      <c r="N141" s="114" t="str">
        <f t="shared" si="19"/>
        <v/>
      </c>
      <c r="O141" s="112" t="s">
        <v>108</v>
      </c>
    </row>
    <row r="142" spans="1:15" ht="15" customHeight="1" x14ac:dyDescent="0.25">
      <c r="A142" s="109">
        <v>139</v>
      </c>
      <c r="B142" s="110" t="s">
        <v>80</v>
      </c>
      <c r="C142" s="109" t="s">
        <v>218</v>
      </c>
      <c r="D142" s="109" t="s">
        <v>278</v>
      </c>
      <c r="E142" s="109" t="s">
        <v>146</v>
      </c>
      <c r="F142" s="109" t="s">
        <v>333</v>
      </c>
      <c r="G142" s="109"/>
      <c r="H142" s="109" t="str">
        <f t="shared" si="16"/>
        <v/>
      </c>
      <c r="I142" s="109" t="str">
        <f t="shared" si="17"/>
        <v>In Progress</v>
      </c>
      <c r="J142" s="109" t="s">
        <v>161</v>
      </c>
      <c r="K142" s="109" t="s">
        <v>158</v>
      </c>
      <c r="L142" s="109" t="s">
        <v>107</v>
      </c>
      <c r="M142" s="109" t="str">
        <f t="shared" si="18"/>
        <v/>
      </c>
      <c r="N142" s="111" t="str">
        <f t="shared" si="19"/>
        <v/>
      </c>
      <c r="O142" s="109" t="s">
        <v>162</v>
      </c>
    </row>
    <row r="143" spans="1:15" ht="15" customHeight="1" x14ac:dyDescent="0.25">
      <c r="A143" s="112">
        <v>140</v>
      </c>
      <c r="B143" s="113" t="s">
        <v>83</v>
      </c>
      <c r="C143" s="112" t="s">
        <v>163</v>
      </c>
      <c r="D143" s="112" t="s">
        <v>72</v>
      </c>
      <c r="E143" s="112" t="s">
        <v>155</v>
      </c>
      <c r="F143" s="112" t="s">
        <v>192</v>
      </c>
      <c r="G143" s="112"/>
      <c r="H143" s="112" t="str">
        <f t="shared" si="16"/>
        <v/>
      </c>
      <c r="I143" s="112" t="str">
        <f t="shared" si="17"/>
        <v>In Progress</v>
      </c>
      <c r="J143" s="112" t="s">
        <v>307</v>
      </c>
      <c r="K143" s="112" t="s">
        <v>210</v>
      </c>
      <c r="L143" s="112" t="s">
        <v>138</v>
      </c>
      <c r="M143" s="112" t="str">
        <f t="shared" si="18"/>
        <v/>
      </c>
      <c r="N143" s="114" t="str">
        <f t="shared" si="19"/>
        <v/>
      </c>
      <c r="O143" s="112" t="s">
        <v>108</v>
      </c>
    </row>
    <row r="144" spans="1:15" ht="15" customHeight="1" x14ac:dyDescent="0.25">
      <c r="A144" s="109">
        <v>141</v>
      </c>
      <c r="B144" s="110" t="s">
        <v>52</v>
      </c>
      <c r="C144" s="109" t="s">
        <v>101</v>
      </c>
      <c r="D144" s="109" t="s">
        <v>207</v>
      </c>
      <c r="E144" s="109" t="s">
        <v>135</v>
      </c>
      <c r="F144" s="109" t="s">
        <v>340</v>
      </c>
      <c r="G144" s="109"/>
      <c r="H144" s="109" t="str">
        <f t="shared" si="16"/>
        <v/>
      </c>
      <c r="I144" s="109" t="str">
        <f t="shared" si="17"/>
        <v>In Progress</v>
      </c>
      <c r="J144" s="109" t="s">
        <v>209</v>
      </c>
      <c r="K144" s="109" t="s">
        <v>120</v>
      </c>
      <c r="L144" s="109" t="s">
        <v>107</v>
      </c>
      <c r="M144" s="109" t="str">
        <f t="shared" si="18"/>
        <v/>
      </c>
      <c r="N144" s="111" t="str">
        <f t="shared" si="19"/>
        <v/>
      </c>
      <c r="O144" s="109" t="s">
        <v>194</v>
      </c>
    </row>
    <row r="145" spans="1:15" ht="15" customHeight="1" x14ac:dyDescent="0.25">
      <c r="A145" s="112">
        <v>142</v>
      </c>
      <c r="B145" s="113" t="s">
        <v>57</v>
      </c>
      <c r="C145" s="112" t="s">
        <v>133</v>
      </c>
      <c r="D145" s="112" t="s">
        <v>240</v>
      </c>
      <c r="E145" s="112" t="s">
        <v>165</v>
      </c>
      <c r="F145" s="112" t="s">
        <v>166</v>
      </c>
      <c r="G145" s="112"/>
      <c r="H145" s="112" t="str">
        <f t="shared" si="16"/>
        <v/>
      </c>
      <c r="I145" s="112" t="str">
        <f t="shared" si="17"/>
        <v>Completed</v>
      </c>
      <c r="J145" s="112" t="s">
        <v>173</v>
      </c>
      <c r="K145" s="112" t="s">
        <v>56</v>
      </c>
      <c r="L145" s="112" t="s">
        <v>127</v>
      </c>
      <c r="M145" s="112" t="str">
        <f t="shared" si="18"/>
        <v/>
      </c>
      <c r="N145" s="114" t="str">
        <f t="shared" si="19"/>
        <v/>
      </c>
      <c r="O145" s="112" t="s">
        <v>108</v>
      </c>
    </row>
    <row r="146" spans="1:15" ht="15" customHeight="1" x14ac:dyDescent="0.25">
      <c r="A146" s="109">
        <v>143</v>
      </c>
      <c r="B146" s="110" t="s">
        <v>60</v>
      </c>
      <c r="C146" s="109" t="s">
        <v>77</v>
      </c>
      <c r="D146" s="109" t="s">
        <v>145</v>
      </c>
      <c r="E146" s="109" t="s">
        <v>171</v>
      </c>
      <c r="F146" s="109" t="s">
        <v>271</v>
      </c>
      <c r="G146" s="109"/>
      <c r="H146" s="109" t="str">
        <f t="shared" ref="H146:H177" si="20">IF(OR(F146="",G146=""),"",G146-F146)</f>
        <v/>
      </c>
      <c r="I146" s="109" t="str">
        <f t="shared" ref="I146:I177" si="21">IFERROR(IF(VALUE(SUBSTITUTE(SUBSTITUTE(J146,"%","")," ",""))&lt;=0,"Not Started",IF(VALUE(SUBSTITUTE(SUBSTITUTE(J146,"%","")," ",""))&gt;=100,"Completed","In Progress")),"Not Started")</f>
        <v>In Progress</v>
      </c>
      <c r="J146" s="109" t="s">
        <v>226</v>
      </c>
      <c r="K146" s="109" t="s">
        <v>158</v>
      </c>
      <c r="L146" s="109" t="s">
        <v>132</v>
      </c>
      <c r="M146" s="109" t="str">
        <f t="shared" ref="M146:M153" si="22">IF(H146="","",H146*8)</f>
        <v/>
      </c>
      <c r="N146" s="111" t="str">
        <f t="shared" ref="N146:N153" si="23">IF(OR(L146="",H146=""),"",L146*H146)</f>
        <v/>
      </c>
      <c r="O146" s="109" t="s">
        <v>108</v>
      </c>
    </row>
    <row r="147" spans="1:15" ht="15" customHeight="1" x14ac:dyDescent="0.25">
      <c r="A147" s="112">
        <v>144</v>
      </c>
      <c r="B147" s="113" t="s">
        <v>64</v>
      </c>
      <c r="C147" s="112" t="s">
        <v>86</v>
      </c>
      <c r="D147" s="112" t="s">
        <v>221</v>
      </c>
      <c r="E147" s="112" t="s">
        <v>146</v>
      </c>
      <c r="F147" s="112" t="s">
        <v>341</v>
      </c>
      <c r="G147" s="112"/>
      <c r="H147" s="112" t="str">
        <f t="shared" si="20"/>
        <v/>
      </c>
      <c r="I147" s="112" t="str">
        <f t="shared" si="21"/>
        <v>In Progress</v>
      </c>
      <c r="J147" s="112" t="s">
        <v>197</v>
      </c>
      <c r="K147" s="112" t="s">
        <v>149</v>
      </c>
      <c r="L147" s="112" t="s">
        <v>107</v>
      </c>
      <c r="M147" s="112" t="str">
        <f t="shared" si="22"/>
        <v/>
      </c>
      <c r="N147" s="114" t="str">
        <f t="shared" si="23"/>
        <v/>
      </c>
      <c r="O147" s="112" t="s">
        <v>169</v>
      </c>
    </row>
    <row r="148" spans="1:15" ht="15" customHeight="1" x14ac:dyDescent="0.25">
      <c r="A148" s="109">
        <v>145</v>
      </c>
      <c r="B148" s="110" t="s">
        <v>68</v>
      </c>
      <c r="C148" s="109" t="s">
        <v>144</v>
      </c>
      <c r="D148" s="109" t="s">
        <v>342</v>
      </c>
      <c r="E148" s="109" t="s">
        <v>155</v>
      </c>
      <c r="F148" s="109" t="s">
        <v>343</v>
      </c>
      <c r="G148" s="109"/>
      <c r="H148" s="109" t="str">
        <f t="shared" si="20"/>
        <v/>
      </c>
      <c r="I148" s="109" t="str">
        <f t="shared" si="21"/>
        <v>In Progress</v>
      </c>
      <c r="J148" s="109" t="s">
        <v>161</v>
      </c>
      <c r="K148" s="109" t="s">
        <v>149</v>
      </c>
      <c r="L148" s="109" t="s">
        <v>138</v>
      </c>
      <c r="M148" s="109" t="str">
        <f t="shared" si="22"/>
        <v/>
      </c>
      <c r="N148" s="111" t="str">
        <f t="shared" si="23"/>
        <v/>
      </c>
      <c r="O148" s="109" t="s">
        <v>108</v>
      </c>
    </row>
    <row r="149" spans="1:15" ht="15" customHeight="1" x14ac:dyDescent="0.25">
      <c r="A149" s="112">
        <v>146</v>
      </c>
      <c r="B149" s="113" t="s">
        <v>70</v>
      </c>
      <c r="C149" s="112" t="s">
        <v>153</v>
      </c>
      <c r="D149" s="112" t="s">
        <v>164</v>
      </c>
      <c r="E149" s="112" t="s">
        <v>205</v>
      </c>
      <c r="F149" s="112" t="s">
        <v>202</v>
      </c>
      <c r="G149" s="112"/>
      <c r="H149" s="112" t="str">
        <f t="shared" si="20"/>
        <v/>
      </c>
      <c r="I149" s="112" t="str">
        <f t="shared" si="21"/>
        <v>In Progress</v>
      </c>
      <c r="J149" s="112" t="s">
        <v>242</v>
      </c>
      <c r="K149" s="112" t="s">
        <v>210</v>
      </c>
      <c r="L149" s="112" t="s">
        <v>138</v>
      </c>
      <c r="M149" s="112" t="str">
        <f t="shared" si="22"/>
        <v/>
      </c>
      <c r="N149" s="114" t="str">
        <f t="shared" si="23"/>
        <v/>
      </c>
      <c r="O149" s="112" t="s">
        <v>186</v>
      </c>
    </row>
    <row r="150" spans="1:15" ht="15" customHeight="1" x14ac:dyDescent="0.25">
      <c r="A150" s="109">
        <v>147</v>
      </c>
      <c r="B150" s="110" t="s">
        <v>74</v>
      </c>
      <c r="C150" s="109" t="s">
        <v>218</v>
      </c>
      <c r="D150" s="109" t="s">
        <v>145</v>
      </c>
      <c r="E150" s="109" t="s">
        <v>191</v>
      </c>
      <c r="F150" s="109" t="s">
        <v>331</v>
      </c>
      <c r="G150" s="109"/>
      <c r="H150" s="109" t="str">
        <f t="shared" si="20"/>
        <v/>
      </c>
      <c r="I150" s="109" t="str">
        <f t="shared" si="21"/>
        <v>In Progress</v>
      </c>
      <c r="J150" s="109" t="s">
        <v>197</v>
      </c>
      <c r="K150" s="109" t="s">
        <v>73</v>
      </c>
      <c r="L150" s="109" t="s">
        <v>127</v>
      </c>
      <c r="M150" s="109" t="str">
        <f t="shared" si="22"/>
        <v/>
      </c>
      <c r="N150" s="111" t="str">
        <f t="shared" si="23"/>
        <v/>
      </c>
      <c r="O150" s="109" t="s">
        <v>108</v>
      </c>
    </row>
    <row r="151" spans="1:15" ht="15" customHeight="1" x14ac:dyDescent="0.25">
      <c r="A151" s="112">
        <v>148</v>
      </c>
      <c r="B151" s="113" t="s">
        <v>78</v>
      </c>
      <c r="C151" s="112" t="s">
        <v>163</v>
      </c>
      <c r="D151" s="112" t="s">
        <v>248</v>
      </c>
      <c r="E151" s="112" t="s">
        <v>230</v>
      </c>
      <c r="F151" s="112" t="s">
        <v>118</v>
      </c>
      <c r="G151" s="112"/>
      <c r="H151" s="112" t="str">
        <f t="shared" si="20"/>
        <v/>
      </c>
      <c r="I151" s="112" t="str">
        <f t="shared" si="21"/>
        <v>Completed</v>
      </c>
      <c r="J151" s="112" t="s">
        <v>173</v>
      </c>
      <c r="K151" s="112" t="s">
        <v>149</v>
      </c>
      <c r="L151" s="112" t="s">
        <v>143</v>
      </c>
      <c r="M151" s="112" t="str">
        <f t="shared" si="22"/>
        <v/>
      </c>
      <c r="N151" s="114" t="str">
        <f t="shared" si="23"/>
        <v/>
      </c>
      <c r="O151" s="112" t="s">
        <v>151</v>
      </c>
    </row>
    <row r="152" spans="1:15" ht="15" customHeight="1" x14ac:dyDescent="0.25">
      <c r="A152" s="109">
        <v>149</v>
      </c>
      <c r="B152" s="110" t="s">
        <v>80</v>
      </c>
      <c r="C152" s="109" t="s">
        <v>55</v>
      </c>
      <c r="D152" s="109" t="s">
        <v>212</v>
      </c>
      <c r="E152" s="109" t="s">
        <v>123</v>
      </c>
      <c r="F152" s="109" t="s">
        <v>202</v>
      </c>
      <c r="G152" s="109"/>
      <c r="H152" s="109" t="str">
        <f t="shared" si="20"/>
        <v/>
      </c>
      <c r="I152" s="109" t="str">
        <f t="shared" si="21"/>
        <v>Not Started</v>
      </c>
      <c r="J152" s="109" t="s">
        <v>179</v>
      </c>
      <c r="K152" s="109" t="s">
        <v>106</v>
      </c>
      <c r="L152" s="109" t="s">
        <v>115</v>
      </c>
      <c r="M152" s="109" t="str">
        <f t="shared" si="22"/>
        <v/>
      </c>
      <c r="N152" s="111" t="str">
        <f t="shared" si="23"/>
        <v/>
      </c>
      <c r="O152" s="109" t="s">
        <v>194</v>
      </c>
    </row>
    <row r="153" spans="1:15" ht="15" customHeight="1" x14ac:dyDescent="0.25">
      <c r="A153" s="112">
        <v>150</v>
      </c>
      <c r="B153" s="113" t="s">
        <v>83</v>
      </c>
      <c r="C153" s="112" t="s">
        <v>133</v>
      </c>
      <c r="D153" s="112" t="s">
        <v>344</v>
      </c>
      <c r="E153" s="112" t="s">
        <v>155</v>
      </c>
      <c r="F153" s="112" t="s">
        <v>314</v>
      </c>
      <c r="G153" s="112"/>
      <c r="H153" s="112" t="str">
        <f t="shared" si="20"/>
        <v/>
      </c>
      <c r="I153" s="112" t="str">
        <f t="shared" si="21"/>
        <v>Not Started</v>
      </c>
      <c r="J153" s="112" t="s">
        <v>125</v>
      </c>
      <c r="K153" s="112" t="s">
        <v>193</v>
      </c>
      <c r="L153" s="112" t="s">
        <v>127</v>
      </c>
      <c r="M153" s="112" t="str">
        <f t="shared" si="22"/>
        <v/>
      </c>
      <c r="N153" s="114" t="str">
        <f t="shared" si="23"/>
        <v/>
      </c>
      <c r="O153" s="112" t="s">
        <v>175</v>
      </c>
    </row>
  </sheetData>
  <autoFilter ref="A3:O153" xr:uid="{00000000-0009-0000-0000-000002000000}"/>
  <mergeCells count="1">
    <mergeCell ref="A1:O1"/>
  </mergeCells>
  <hyperlinks>
    <hyperlink ref="O2" location="'Project Overview'!A1" display="← Back to Project Overview" xr:uid="{00000000-0004-0000-02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3"/>
  <sheetViews>
    <sheetView topLeftCell="F1" zoomScaleNormal="100" workbookViewId="0">
      <pane ySplit="3" topLeftCell="A4" activePane="bottomLeft" state="frozen"/>
      <selection activeCell="D1" sqref="D1"/>
      <selection pane="bottomLeft" sqref="A1:P1"/>
    </sheetView>
  </sheetViews>
  <sheetFormatPr defaultColWidth="8.7109375" defaultRowHeight="15" x14ac:dyDescent="0.25"/>
  <cols>
    <col min="1" max="1" width="7.5703125" customWidth="1"/>
    <col min="2" max="2" width="38" customWidth="1"/>
    <col min="3" max="3" width="10" customWidth="1"/>
    <col min="4" max="4" width="20" customWidth="1"/>
    <col min="5" max="5" width="16" customWidth="1"/>
    <col min="6" max="9" width="14" customWidth="1"/>
    <col min="10" max="10" width="11" customWidth="1"/>
    <col min="11" max="11" width="10" customWidth="1"/>
    <col min="12" max="12" width="14" customWidth="1"/>
    <col min="13" max="13" width="8" customWidth="1"/>
    <col min="14" max="14" width="14" customWidth="1"/>
    <col min="15" max="15" width="20" customWidth="1"/>
    <col min="16" max="17" width="30" customWidth="1"/>
    <col min="18" max="18" width="32" customWidth="1"/>
  </cols>
  <sheetData>
    <row r="1" spans="1:18" ht="25.5" customHeight="1" x14ac:dyDescent="0.25">
      <c r="A1" s="189" t="s">
        <v>345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8" ht="15" customHeight="1" x14ac:dyDescent="0.25">
      <c r="P2" s="14" t="s">
        <v>88</v>
      </c>
    </row>
    <row r="3" spans="1:18" ht="31.5" customHeight="1" x14ac:dyDescent="0.25">
      <c r="A3" s="108" t="s">
        <v>89</v>
      </c>
      <c r="B3" s="108" t="s">
        <v>90</v>
      </c>
      <c r="C3" s="108" t="s">
        <v>49</v>
      </c>
      <c r="D3" s="108" t="s">
        <v>91</v>
      </c>
      <c r="E3" s="108" t="s">
        <v>92</v>
      </c>
      <c r="F3" s="108" t="s">
        <v>93</v>
      </c>
      <c r="G3" s="108" t="s">
        <v>94</v>
      </c>
      <c r="H3" s="108" t="s">
        <v>95</v>
      </c>
      <c r="I3" s="108" t="s">
        <v>51</v>
      </c>
      <c r="J3" s="108" t="s">
        <v>96</v>
      </c>
      <c r="K3" s="108" t="s">
        <v>50</v>
      </c>
      <c r="L3" s="108" t="s">
        <v>97</v>
      </c>
      <c r="M3" s="108" t="s">
        <v>98</v>
      </c>
      <c r="N3" s="108" t="s">
        <v>346</v>
      </c>
      <c r="O3" s="108" t="s">
        <v>100</v>
      </c>
      <c r="P3" s="108" t="s">
        <v>347</v>
      </c>
      <c r="Q3" s="108"/>
      <c r="R3" s="108"/>
    </row>
    <row r="4" spans="1:18" ht="15" customHeight="1" x14ac:dyDescent="0.25">
      <c r="A4" s="115">
        <v>1</v>
      </c>
      <c r="B4" s="116" t="s">
        <v>52</v>
      </c>
      <c r="C4" s="115" t="s">
        <v>55</v>
      </c>
      <c r="D4" s="115" t="s">
        <v>187</v>
      </c>
      <c r="E4" s="115" t="s">
        <v>103</v>
      </c>
      <c r="F4" s="117">
        <v>45375</v>
      </c>
      <c r="G4" s="117">
        <v>45385</v>
      </c>
      <c r="H4" s="115">
        <f t="shared" ref="H4:H35" si="0">IF(OR(F4="",G4=""),"",G4-F4)</f>
        <v>10</v>
      </c>
      <c r="I4" s="115" t="str">
        <f t="shared" ref="I4:I35" si="1">IFERROR(IF(VALUE(SUBSTITUTE(SUBSTITUTE(J4,"%","")," ",""))&lt;=0,"Not Started",IF(VALUE(SUBSTITUTE(SUBSTITUTE(J4,"%","")," ",""))&gt;=100,"Completed","In Progress")),"Not Started")</f>
        <v>In Progress</v>
      </c>
      <c r="J4" s="118">
        <v>1</v>
      </c>
      <c r="K4" s="115" t="s">
        <v>63</v>
      </c>
      <c r="L4" s="119">
        <v>2000</v>
      </c>
      <c r="M4" s="115">
        <v>140</v>
      </c>
      <c r="N4" s="119">
        <f t="shared" ref="N4:N35" si="2">IF(OR(L4="",H4=""),"",L4*H4)</f>
        <v>20000</v>
      </c>
      <c r="O4" s="115" t="s">
        <v>139</v>
      </c>
      <c r="P4" s="115" t="str">
        <f t="shared" ref="P4:P35" si="3">IFERROR(IF(VALUE(SUBSTITUTE(SUBSTITUTE(J4,"%","")," ",""))&gt;=100,"Completed",IF(VALUE(SUBSTITUTE(SUBSTITUTE(J4,"%","")," ",""))&lt;=0,"Not Started","In Progress")),"Not Started")</f>
        <v>In Progress</v>
      </c>
      <c r="Q4" s="115"/>
      <c r="R4" s="115"/>
    </row>
    <row r="5" spans="1:18" ht="15" customHeight="1" x14ac:dyDescent="0.25">
      <c r="A5" s="120">
        <v>2</v>
      </c>
      <c r="B5" s="121" t="s">
        <v>57</v>
      </c>
      <c r="C5" s="120" t="s">
        <v>67</v>
      </c>
      <c r="D5" s="120" t="s">
        <v>102</v>
      </c>
      <c r="E5" s="120" t="s">
        <v>191</v>
      </c>
      <c r="F5" s="122">
        <v>45420</v>
      </c>
      <c r="G5" s="122">
        <v>45427</v>
      </c>
      <c r="H5" s="120">
        <f t="shared" si="0"/>
        <v>7</v>
      </c>
      <c r="I5" s="120" t="str">
        <f t="shared" si="1"/>
        <v>In Progress</v>
      </c>
      <c r="J5" s="123">
        <v>1</v>
      </c>
      <c r="K5" s="120" t="s">
        <v>56</v>
      </c>
      <c r="L5" s="124">
        <v>4000</v>
      </c>
      <c r="M5" s="120">
        <v>100</v>
      </c>
      <c r="N5" s="124">
        <f t="shared" si="2"/>
        <v>28000</v>
      </c>
      <c r="O5" s="120" t="s">
        <v>139</v>
      </c>
      <c r="P5" s="120" t="str">
        <f t="shared" si="3"/>
        <v>In Progress</v>
      </c>
      <c r="Q5" s="120"/>
      <c r="R5" s="120"/>
    </row>
    <row r="6" spans="1:18" ht="15" customHeight="1" x14ac:dyDescent="0.25">
      <c r="A6" s="120">
        <v>3</v>
      </c>
      <c r="B6" s="121" t="s">
        <v>60</v>
      </c>
      <c r="C6" s="120" t="s">
        <v>77</v>
      </c>
      <c r="D6" s="120" t="s">
        <v>102</v>
      </c>
      <c r="E6" s="120" t="s">
        <v>230</v>
      </c>
      <c r="F6" s="122">
        <v>45338</v>
      </c>
      <c r="G6" s="122">
        <v>45350</v>
      </c>
      <c r="H6" s="120">
        <f t="shared" si="0"/>
        <v>12</v>
      </c>
      <c r="I6" s="120" t="str">
        <f t="shared" si="1"/>
        <v>Not Started</v>
      </c>
      <c r="J6" s="123">
        <v>0</v>
      </c>
      <c r="K6" s="120" t="s">
        <v>56</v>
      </c>
      <c r="L6" s="124">
        <v>4200</v>
      </c>
      <c r="M6" s="120">
        <v>140</v>
      </c>
      <c r="N6" s="124">
        <f t="shared" si="2"/>
        <v>50400</v>
      </c>
      <c r="O6" s="120" t="s">
        <v>108</v>
      </c>
      <c r="P6" s="120" t="str">
        <f t="shared" si="3"/>
        <v>Not Started</v>
      </c>
      <c r="Q6" s="120"/>
      <c r="R6" s="120"/>
    </row>
    <row r="7" spans="1:18" ht="15" customHeight="1" x14ac:dyDescent="0.25">
      <c r="A7" s="115">
        <v>4</v>
      </c>
      <c r="B7" s="116" t="s">
        <v>64</v>
      </c>
      <c r="C7" s="115" t="s">
        <v>86</v>
      </c>
      <c r="D7" s="115" t="s">
        <v>102</v>
      </c>
      <c r="E7" s="115" t="s">
        <v>146</v>
      </c>
      <c r="F7" s="117">
        <v>45341</v>
      </c>
      <c r="G7" s="117">
        <v>45348</v>
      </c>
      <c r="H7" s="115">
        <f t="shared" si="0"/>
        <v>7</v>
      </c>
      <c r="I7" s="115" t="str">
        <f t="shared" si="1"/>
        <v>In Progress</v>
      </c>
      <c r="J7" s="118">
        <v>0.75</v>
      </c>
      <c r="K7" s="115" t="s">
        <v>63</v>
      </c>
      <c r="L7" s="119">
        <v>4200</v>
      </c>
      <c r="M7" s="115">
        <v>0</v>
      </c>
      <c r="N7" s="119">
        <f t="shared" si="2"/>
        <v>29400</v>
      </c>
      <c r="O7" s="115" t="s">
        <v>194</v>
      </c>
      <c r="P7" s="115" t="str">
        <f t="shared" si="3"/>
        <v>In Progress</v>
      </c>
      <c r="Q7" s="115"/>
      <c r="R7" s="115"/>
    </row>
    <row r="8" spans="1:18" ht="15" customHeight="1" x14ac:dyDescent="0.25">
      <c r="A8" s="120">
        <v>5</v>
      </c>
      <c r="B8" s="121" t="s">
        <v>68</v>
      </c>
      <c r="C8" s="120" t="s">
        <v>55</v>
      </c>
      <c r="D8" s="120" t="s">
        <v>201</v>
      </c>
      <c r="E8" s="120" t="s">
        <v>129</v>
      </c>
      <c r="F8" s="122">
        <v>45346</v>
      </c>
      <c r="G8" s="122">
        <v>45374</v>
      </c>
      <c r="H8" s="120">
        <f t="shared" si="0"/>
        <v>28</v>
      </c>
      <c r="I8" s="120" t="str">
        <f t="shared" si="1"/>
        <v>Not Started</v>
      </c>
      <c r="J8" s="123">
        <v>0</v>
      </c>
      <c r="K8" s="120" t="s">
        <v>56</v>
      </c>
      <c r="L8" s="124">
        <v>4200</v>
      </c>
      <c r="M8" s="120">
        <v>0</v>
      </c>
      <c r="N8" s="124">
        <f t="shared" si="2"/>
        <v>117600</v>
      </c>
      <c r="O8" s="120" t="s">
        <v>194</v>
      </c>
      <c r="P8" s="120" t="str">
        <f t="shared" si="3"/>
        <v>Not Started</v>
      </c>
      <c r="Q8" s="120"/>
      <c r="R8" s="120"/>
    </row>
    <row r="9" spans="1:18" ht="15" customHeight="1" x14ac:dyDescent="0.25">
      <c r="A9" s="120">
        <v>6</v>
      </c>
      <c r="B9" s="121" t="s">
        <v>70</v>
      </c>
      <c r="C9" s="120" t="s">
        <v>67</v>
      </c>
      <c r="D9" s="120" t="s">
        <v>201</v>
      </c>
      <c r="E9" s="120" t="s">
        <v>103</v>
      </c>
      <c r="F9" s="122">
        <v>45433</v>
      </c>
      <c r="G9" s="122">
        <v>45440</v>
      </c>
      <c r="H9" s="120">
        <f t="shared" si="0"/>
        <v>7</v>
      </c>
      <c r="I9" s="120" t="str">
        <f t="shared" si="1"/>
        <v>In Progress</v>
      </c>
      <c r="J9" s="123">
        <v>1</v>
      </c>
      <c r="K9" s="120" t="s">
        <v>56</v>
      </c>
      <c r="L9" s="124">
        <v>5500</v>
      </c>
      <c r="M9" s="120">
        <v>168</v>
      </c>
      <c r="N9" s="124">
        <f t="shared" si="2"/>
        <v>38500</v>
      </c>
      <c r="O9" s="120" t="s">
        <v>139</v>
      </c>
      <c r="P9" s="120" t="str">
        <f t="shared" si="3"/>
        <v>In Progress</v>
      </c>
      <c r="Q9" s="120"/>
      <c r="R9" s="120"/>
    </row>
    <row r="10" spans="1:18" ht="15" customHeight="1" x14ac:dyDescent="0.25">
      <c r="A10" s="125">
        <v>7</v>
      </c>
      <c r="B10" s="126" t="s">
        <v>74</v>
      </c>
      <c r="C10" s="125" t="s">
        <v>77</v>
      </c>
      <c r="D10" s="125" t="s">
        <v>72</v>
      </c>
      <c r="E10" s="125" t="s">
        <v>191</v>
      </c>
      <c r="F10" s="127">
        <v>45412</v>
      </c>
      <c r="G10" s="127">
        <v>45426</v>
      </c>
      <c r="H10" s="125">
        <f t="shared" si="0"/>
        <v>14</v>
      </c>
      <c r="I10" s="125" t="str">
        <f t="shared" si="1"/>
        <v>In Progress</v>
      </c>
      <c r="J10" s="128">
        <v>1</v>
      </c>
      <c r="K10" s="125" t="s">
        <v>63</v>
      </c>
      <c r="L10" s="129">
        <v>5500</v>
      </c>
      <c r="M10" s="125">
        <v>168</v>
      </c>
      <c r="N10" s="129">
        <f t="shared" si="2"/>
        <v>77000</v>
      </c>
      <c r="O10" s="125" t="s">
        <v>108</v>
      </c>
      <c r="P10" s="125" t="str">
        <f t="shared" si="3"/>
        <v>In Progress</v>
      </c>
      <c r="Q10" s="125"/>
      <c r="R10" s="125"/>
    </row>
    <row r="11" spans="1:18" ht="15" customHeight="1" x14ac:dyDescent="0.25">
      <c r="A11" s="120">
        <v>8</v>
      </c>
      <c r="B11" s="121" t="s">
        <v>78</v>
      </c>
      <c r="C11" s="120" t="s">
        <v>86</v>
      </c>
      <c r="D11" s="120" t="s">
        <v>72</v>
      </c>
      <c r="E11" s="120" t="s">
        <v>230</v>
      </c>
      <c r="F11" s="122">
        <v>45302</v>
      </c>
      <c r="G11" s="122">
        <v>45330</v>
      </c>
      <c r="H11" s="120">
        <f t="shared" si="0"/>
        <v>28</v>
      </c>
      <c r="I11" s="120" t="str">
        <f t="shared" si="1"/>
        <v>Not Started</v>
      </c>
      <c r="J11" s="123">
        <v>0</v>
      </c>
      <c r="K11" s="120" t="s">
        <v>106</v>
      </c>
      <c r="L11" s="124">
        <v>3500</v>
      </c>
      <c r="M11" s="120">
        <v>0</v>
      </c>
      <c r="N11" s="124">
        <f t="shared" si="2"/>
        <v>98000</v>
      </c>
      <c r="O11" s="120" t="s">
        <v>108</v>
      </c>
      <c r="P11" s="120" t="str">
        <f t="shared" si="3"/>
        <v>Not Started</v>
      </c>
      <c r="Q11" s="120"/>
      <c r="R11" s="120"/>
    </row>
    <row r="12" spans="1:18" ht="15" customHeight="1" x14ac:dyDescent="0.25">
      <c r="A12" s="120">
        <v>9</v>
      </c>
      <c r="B12" s="121" t="s">
        <v>80</v>
      </c>
      <c r="C12" s="120" t="s">
        <v>55</v>
      </c>
      <c r="D12" s="120" t="s">
        <v>140</v>
      </c>
      <c r="E12" s="120" t="s">
        <v>146</v>
      </c>
      <c r="F12" s="122">
        <v>45316</v>
      </c>
      <c r="G12" s="122">
        <v>45326</v>
      </c>
      <c r="H12" s="120">
        <f t="shared" si="0"/>
        <v>10</v>
      </c>
      <c r="I12" s="120" t="str">
        <f t="shared" si="1"/>
        <v>Not Started</v>
      </c>
      <c r="J12" s="123">
        <v>0</v>
      </c>
      <c r="K12" s="120" t="s">
        <v>56</v>
      </c>
      <c r="L12" s="124">
        <v>5500</v>
      </c>
      <c r="M12" s="120">
        <v>0</v>
      </c>
      <c r="N12" s="124">
        <f t="shared" si="2"/>
        <v>55000</v>
      </c>
      <c r="O12" s="120" t="s">
        <v>108</v>
      </c>
      <c r="P12" s="120" t="str">
        <f t="shared" si="3"/>
        <v>Not Started</v>
      </c>
      <c r="Q12" s="120"/>
      <c r="R12" s="120"/>
    </row>
    <row r="13" spans="1:18" ht="15" customHeight="1" x14ac:dyDescent="0.25">
      <c r="A13" s="115">
        <v>10</v>
      </c>
      <c r="B13" s="116" t="s">
        <v>83</v>
      </c>
      <c r="C13" s="115" t="s">
        <v>67</v>
      </c>
      <c r="D13" s="115" t="s">
        <v>237</v>
      </c>
      <c r="E13" s="115" t="s">
        <v>129</v>
      </c>
      <c r="F13" s="117">
        <v>45307</v>
      </c>
      <c r="G13" s="117">
        <v>45321</v>
      </c>
      <c r="H13" s="115">
        <f t="shared" si="0"/>
        <v>14</v>
      </c>
      <c r="I13" s="115" t="str">
        <f t="shared" si="1"/>
        <v>In Progress</v>
      </c>
      <c r="J13" s="118">
        <v>0.75</v>
      </c>
      <c r="K13" s="115" t="s">
        <v>56</v>
      </c>
      <c r="L13" s="119">
        <v>2000</v>
      </c>
      <c r="M13" s="115">
        <v>120</v>
      </c>
      <c r="N13" s="119">
        <f t="shared" si="2"/>
        <v>28000</v>
      </c>
      <c r="O13" s="115" t="s">
        <v>108</v>
      </c>
      <c r="P13" s="115" t="str">
        <f t="shared" si="3"/>
        <v>In Progress</v>
      </c>
      <c r="Q13" s="115"/>
      <c r="R13" s="115"/>
    </row>
    <row r="14" spans="1:18" ht="15" customHeight="1" x14ac:dyDescent="0.25">
      <c r="A14" s="115">
        <v>11</v>
      </c>
      <c r="B14" s="116" t="s">
        <v>52</v>
      </c>
      <c r="C14" s="115" t="s">
        <v>77</v>
      </c>
      <c r="D14" s="115" t="s">
        <v>145</v>
      </c>
      <c r="E14" s="115" t="s">
        <v>103</v>
      </c>
      <c r="F14" s="117">
        <v>45413</v>
      </c>
      <c r="G14" s="117">
        <v>45420</v>
      </c>
      <c r="H14" s="115">
        <f t="shared" si="0"/>
        <v>7</v>
      </c>
      <c r="I14" s="115" t="str">
        <f t="shared" si="1"/>
        <v>In Progress</v>
      </c>
      <c r="J14" s="118">
        <v>0.4</v>
      </c>
      <c r="K14" s="115" t="s">
        <v>63</v>
      </c>
      <c r="L14" s="119">
        <v>3000</v>
      </c>
      <c r="M14" s="115">
        <v>80</v>
      </c>
      <c r="N14" s="119">
        <f t="shared" si="2"/>
        <v>21000</v>
      </c>
      <c r="O14" s="115" t="s">
        <v>169</v>
      </c>
      <c r="P14" s="115" t="str">
        <f t="shared" si="3"/>
        <v>In Progress</v>
      </c>
      <c r="Q14" s="115"/>
      <c r="R14" s="115"/>
    </row>
    <row r="15" spans="1:18" ht="15" customHeight="1" x14ac:dyDescent="0.25">
      <c r="A15" s="115">
        <v>12</v>
      </c>
      <c r="B15" s="116" t="s">
        <v>64</v>
      </c>
      <c r="C15" s="115" t="s">
        <v>86</v>
      </c>
      <c r="D15" s="115" t="s">
        <v>102</v>
      </c>
      <c r="E15" s="115" t="s">
        <v>146</v>
      </c>
      <c r="F15" s="117">
        <v>45341</v>
      </c>
      <c r="G15" s="117">
        <v>45348</v>
      </c>
      <c r="H15" s="115">
        <f t="shared" si="0"/>
        <v>7</v>
      </c>
      <c r="I15" s="115" t="str">
        <f t="shared" si="1"/>
        <v>In Progress</v>
      </c>
      <c r="J15" s="118">
        <v>0.75</v>
      </c>
      <c r="K15" s="115" t="s">
        <v>63</v>
      </c>
      <c r="L15" s="119">
        <v>4200</v>
      </c>
      <c r="M15" s="115">
        <v>0</v>
      </c>
      <c r="N15" s="119">
        <f t="shared" si="2"/>
        <v>29400</v>
      </c>
      <c r="O15" s="115" t="s">
        <v>194</v>
      </c>
      <c r="P15" s="115" t="str">
        <f t="shared" si="3"/>
        <v>In Progress</v>
      </c>
      <c r="Q15" s="115"/>
      <c r="R15" s="115"/>
    </row>
    <row r="16" spans="1:18" ht="15" customHeight="1" x14ac:dyDescent="0.25">
      <c r="A16" s="120">
        <v>13</v>
      </c>
      <c r="B16" s="121" t="s">
        <v>60</v>
      </c>
      <c r="C16" s="120" t="s">
        <v>55</v>
      </c>
      <c r="D16" s="120" t="s">
        <v>302</v>
      </c>
      <c r="E16" s="120" t="s">
        <v>230</v>
      </c>
      <c r="F16" s="122">
        <v>45412</v>
      </c>
      <c r="G16" s="122">
        <v>45433</v>
      </c>
      <c r="H16" s="120">
        <f t="shared" si="0"/>
        <v>21</v>
      </c>
      <c r="I16" s="120" t="str">
        <f t="shared" si="1"/>
        <v>In Progress</v>
      </c>
      <c r="J16" s="123">
        <v>0.65</v>
      </c>
      <c r="K16" s="120" t="s">
        <v>73</v>
      </c>
      <c r="L16" s="124">
        <v>3500</v>
      </c>
      <c r="M16" s="120">
        <v>140</v>
      </c>
      <c r="N16" s="124">
        <f t="shared" si="2"/>
        <v>73500</v>
      </c>
      <c r="O16" s="120" t="s">
        <v>139</v>
      </c>
      <c r="P16" s="120" t="str">
        <f t="shared" si="3"/>
        <v>In Progress</v>
      </c>
      <c r="Q16" s="120"/>
      <c r="R16" s="120"/>
    </row>
    <row r="17" spans="1:18" ht="15" customHeight="1" x14ac:dyDescent="0.25">
      <c r="A17" s="115">
        <v>14</v>
      </c>
      <c r="B17" s="116" t="s">
        <v>64</v>
      </c>
      <c r="C17" s="115" t="s">
        <v>67</v>
      </c>
      <c r="D17" s="115" t="s">
        <v>176</v>
      </c>
      <c r="E17" s="115" t="s">
        <v>146</v>
      </c>
      <c r="F17" s="117">
        <v>45416</v>
      </c>
      <c r="G17" s="117">
        <v>45423</v>
      </c>
      <c r="H17" s="115">
        <f t="shared" si="0"/>
        <v>7</v>
      </c>
      <c r="I17" s="115" t="str">
        <f t="shared" si="1"/>
        <v>In Progress</v>
      </c>
      <c r="J17" s="118">
        <v>0.75</v>
      </c>
      <c r="K17" s="115" t="s">
        <v>56</v>
      </c>
      <c r="L17" s="119">
        <v>3000</v>
      </c>
      <c r="M17" s="115">
        <v>60</v>
      </c>
      <c r="N17" s="119">
        <f t="shared" si="2"/>
        <v>21000</v>
      </c>
      <c r="O17" s="115" t="s">
        <v>194</v>
      </c>
      <c r="P17" s="115" t="str">
        <f t="shared" si="3"/>
        <v>In Progress</v>
      </c>
      <c r="Q17" s="115"/>
      <c r="R17" s="115"/>
    </row>
    <row r="18" spans="1:18" ht="15" customHeight="1" x14ac:dyDescent="0.25">
      <c r="A18" s="115">
        <v>15</v>
      </c>
      <c r="B18" s="116" t="s">
        <v>68</v>
      </c>
      <c r="C18" s="115" t="s">
        <v>77</v>
      </c>
      <c r="D18" s="115" t="s">
        <v>164</v>
      </c>
      <c r="E18" s="115" t="s">
        <v>129</v>
      </c>
      <c r="F18" s="117">
        <v>45313</v>
      </c>
      <c r="G18" s="117">
        <v>45327</v>
      </c>
      <c r="H18" s="115">
        <f t="shared" si="0"/>
        <v>14</v>
      </c>
      <c r="I18" s="115" t="str">
        <f t="shared" si="1"/>
        <v>In Progress</v>
      </c>
      <c r="J18" s="118">
        <v>0.75</v>
      </c>
      <c r="K18" s="115" t="s">
        <v>56</v>
      </c>
      <c r="L18" s="119">
        <v>4000</v>
      </c>
      <c r="M18" s="115">
        <v>140</v>
      </c>
      <c r="N18" s="119">
        <f t="shared" si="2"/>
        <v>56000</v>
      </c>
      <c r="O18" s="115" t="s">
        <v>108</v>
      </c>
      <c r="P18" s="115" t="str">
        <f t="shared" si="3"/>
        <v>In Progress</v>
      </c>
      <c r="Q18" s="115"/>
      <c r="R18" s="115"/>
    </row>
    <row r="19" spans="1:18" ht="15" customHeight="1" x14ac:dyDescent="0.25">
      <c r="A19" s="125">
        <v>16</v>
      </c>
      <c r="B19" s="126" t="s">
        <v>70</v>
      </c>
      <c r="C19" s="125" t="s">
        <v>86</v>
      </c>
      <c r="D19" s="125" t="s">
        <v>116</v>
      </c>
      <c r="E19" s="125" t="s">
        <v>103</v>
      </c>
      <c r="F19" s="127">
        <v>45394</v>
      </c>
      <c r="G19" s="127">
        <v>45404</v>
      </c>
      <c r="H19" s="125">
        <f t="shared" si="0"/>
        <v>10</v>
      </c>
      <c r="I19" s="125" t="str">
        <f t="shared" si="1"/>
        <v>In Progress</v>
      </c>
      <c r="J19" s="128">
        <v>1</v>
      </c>
      <c r="K19" s="125" t="s">
        <v>106</v>
      </c>
      <c r="L19" s="129">
        <v>3500</v>
      </c>
      <c r="M19" s="125">
        <v>140</v>
      </c>
      <c r="N19" s="129">
        <f t="shared" si="2"/>
        <v>35000</v>
      </c>
      <c r="O19" s="125" t="s">
        <v>186</v>
      </c>
      <c r="P19" s="125" t="str">
        <f t="shared" si="3"/>
        <v>In Progress</v>
      </c>
      <c r="Q19" s="125"/>
      <c r="R19" s="125"/>
    </row>
    <row r="20" spans="1:18" ht="15" customHeight="1" x14ac:dyDescent="0.25">
      <c r="A20" s="125">
        <v>17</v>
      </c>
      <c r="B20" s="126" t="s">
        <v>74</v>
      </c>
      <c r="C20" s="125" t="s">
        <v>55</v>
      </c>
      <c r="D20" s="125" t="s">
        <v>187</v>
      </c>
      <c r="E20" s="125" t="s">
        <v>191</v>
      </c>
      <c r="F20" s="127">
        <v>45363</v>
      </c>
      <c r="G20" s="127">
        <v>45375</v>
      </c>
      <c r="H20" s="125">
        <f t="shared" si="0"/>
        <v>12</v>
      </c>
      <c r="I20" s="125" t="str">
        <f t="shared" si="1"/>
        <v>In Progress</v>
      </c>
      <c r="J20" s="128">
        <v>0.75</v>
      </c>
      <c r="K20" s="125" t="s">
        <v>106</v>
      </c>
      <c r="L20" s="129">
        <v>5500</v>
      </c>
      <c r="M20" s="125">
        <v>168</v>
      </c>
      <c r="N20" s="129">
        <f t="shared" si="2"/>
        <v>66000</v>
      </c>
      <c r="O20" s="125" t="s">
        <v>108</v>
      </c>
      <c r="P20" s="125" t="str">
        <f t="shared" si="3"/>
        <v>In Progress</v>
      </c>
      <c r="Q20" s="125"/>
      <c r="R20" s="125"/>
    </row>
    <row r="21" spans="1:18" ht="15" customHeight="1" x14ac:dyDescent="0.25">
      <c r="A21" s="125">
        <v>18</v>
      </c>
      <c r="B21" s="126" t="s">
        <v>78</v>
      </c>
      <c r="C21" s="125" t="s">
        <v>67</v>
      </c>
      <c r="D21" s="125" t="s">
        <v>102</v>
      </c>
      <c r="E21" s="125" t="s">
        <v>230</v>
      </c>
      <c r="F21" s="127">
        <v>45388</v>
      </c>
      <c r="G21" s="127">
        <v>45416</v>
      </c>
      <c r="H21" s="125">
        <f t="shared" si="0"/>
        <v>28</v>
      </c>
      <c r="I21" s="125" t="str">
        <f t="shared" si="1"/>
        <v>Not Started</v>
      </c>
      <c r="J21" s="128">
        <v>0</v>
      </c>
      <c r="K21" s="125" t="s">
        <v>73</v>
      </c>
      <c r="L21" s="129">
        <v>3500</v>
      </c>
      <c r="M21" s="125">
        <v>80</v>
      </c>
      <c r="N21" s="129">
        <f t="shared" si="2"/>
        <v>98000</v>
      </c>
      <c r="O21" s="125" t="s">
        <v>169</v>
      </c>
      <c r="P21" s="125" t="str">
        <f t="shared" si="3"/>
        <v>Not Started</v>
      </c>
      <c r="Q21" s="125"/>
      <c r="R21" s="125"/>
    </row>
    <row r="22" spans="1:18" ht="15" customHeight="1" x14ac:dyDescent="0.25">
      <c r="A22" s="125">
        <v>19</v>
      </c>
      <c r="B22" s="126" t="s">
        <v>80</v>
      </c>
      <c r="C22" s="125" t="s">
        <v>77</v>
      </c>
      <c r="D22" s="125" t="s">
        <v>128</v>
      </c>
      <c r="E22" s="125" t="s">
        <v>146</v>
      </c>
      <c r="F22" s="127">
        <v>45304</v>
      </c>
      <c r="G22" s="127">
        <v>45314</v>
      </c>
      <c r="H22" s="125">
        <f t="shared" si="0"/>
        <v>10</v>
      </c>
      <c r="I22" s="125" t="str">
        <f t="shared" si="1"/>
        <v>In Progress</v>
      </c>
      <c r="J22" s="128">
        <v>0.65</v>
      </c>
      <c r="K22" s="125" t="s">
        <v>56</v>
      </c>
      <c r="L22" s="129">
        <v>2000</v>
      </c>
      <c r="M22" s="125">
        <v>80</v>
      </c>
      <c r="N22" s="129">
        <f t="shared" si="2"/>
        <v>20000</v>
      </c>
      <c r="O22" s="125" t="s">
        <v>169</v>
      </c>
      <c r="P22" s="125" t="str">
        <f t="shared" si="3"/>
        <v>In Progress</v>
      </c>
      <c r="Q22" s="125"/>
      <c r="R22" s="125"/>
    </row>
    <row r="23" spans="1:18" ht="15" customHeight="1" x14ac:dyDescent="0.25">
      <c r="A23" s="125">
        <v>20</v>
      </c>
      <c r="B23" s="126" t="s">
        <v>83</v>
      </c>
      <c r="C23" s="125" t="s">
        <v>86</v>
      </c>
      <c r="D23" s="125" t="s">
        <v>195</v>
      </c>
      <c r="E23" s="125" t="s">
        <v>129</v>
      </c>
      <c r="F23" s="127">
        <v>45379</v>
      </c>
      <c r="G23" s="127">
        <v>45386</v>
      </c>
      <c r="H23" s="125">
        <f t="shared" si="0"/>
        <v>7</v>
      </c>
      <c r="I23" s="125" t="str">
        <f t="shared" si="1"/>
        <v>Not Started</v>
      </c>
      <c r="J23" s="128">
        <v>0</v>
      </c>
      <c r="K23" s="125" t="s">
        <v>106</v>
      </c>
      <c r="L23" s="129">
        <v>5000</v>
      </c>
      <c r="M23" s="125">
        <v>140</v>
      </c>
      <c r="N23" s="129">
        <f t="shared" si="2"/>
        <v>35000</v>
      </c>
      <c r="O23" s="125" t="s">
        <v>186</v>
      </c>
      <c r="P23" s="125" t="str">
        <f t="shared" si="3"/>
        <v>Not Started</v>
      </c>
      <c r="Q23" s="125"/>
      <c r="R23" s="125"/>
    </row>
    <row r="24" spans="1:18" ht="15" customHeight="1" x14ac:dyDescent="0.25">
      <c r="A24" s="120">
        <v>21</v>
      </c>
      <c r="B24" s="121" t="s">
        <v>52</v>
      </c>
      <c r="C24" s="120" t="s">
        <v>55</v>
      </c>
      <c r="D24" s="120" t="s">
        <v>261</v>
      </c>
      <c r="E24" s="120" t="s">
        <v>103</v>
      </c>
      <c r="F24" s="122">
        <v>45293</v>
      </c>
      <c r="G24" s="122">
        <v>45300</v>
      </c>
      <c r="H24" s="120">
        <f t="shared" si="0"/>
        <v>7</v>
      </c>
      <c r="I24" s="120" t="str">
        <f t="shared" si="1"/>
        <v>In Progress</v>
      </c>
      <c r="J24" s="123">
        <v>0.5</v>
      </c>
      <c r="K24" s="120" t="s">
        <v>63</v>
      </c>
      <c r="L24" s="124">
        <v>4000</v>
      </c>
      <c r="M24" s="120">
        <v>80</v>
      </c>
      <c r="N24" s="124">
        <f t="shared" si="2"/>
        <v>28000</v>
      </c>
      <c r="O24" s="120" t="s">
        <v>108</v>
      </c>
      <c r="P24" s="120" t="str">
        <f t="shared" si="3"/>
        <v>In Progress</v>
      </c>
      <c r="Q24" s="120"/>
      <c r="R24" s="120"/>
    </row>
    <row r="25" spans="1:18" ht="15" customHeight="1" x14ac:dyDescent="0.25">
      <c r="A25" s="115">
        <v>22</v>
      </c>
      <c r="B25" s="116" t="s">
        <v>57</v>
      </c>
      <c r="C25" s="115" t="s">
        <v>67</v>
      </c>
      <c r="D25" s="115" t="s">
        <v>201</v>
      </c>
      <c r="E25" s="115" t="s">
        <v>191</v>
      </c>
      <c r="F25" s="117">
        <v>45388</v>
      </c>
      <c r="G25" s="117">
        <v>45398</v>
      </c>
      <c r="H25" s="115">
        <f t="shared" si="0"/>
        <v>10</v>
      </c>
      <c r="I25" s="115" t="str">
        <f t="shared" si="1"/>
        <v>In Progress</v>
      </c>
      <c r="J25" s="118">
        <v>1</v>
      </c>
      <c r="K25" s="115" t="s">
        <v>73</v>
      </c>
      <c r="L25" s="119">
        <v>4200</v>
      </c>
      <c r="M25" s="115">
        <v>140</v>
      </c>
      <c r="N25" s="119">
        <f t="shared" si="2"/>
        <v>42000</v>
      </c>
      <c r="O25" s="115" t="s">
        <v>169</v>
      </c>
      <c r="P25" s="115" t="str">
        <f t="shared" si="3"/>
        <v>In Progress</v>
      </c>
      <c r="Q25" s="115"/>
      <c r="R25" s="115"/>
    </row>
    <row r="26" spans="1:18" ht="15" customHeight="1" x14ac:dyDescent="0.25">
      <c r="A26" s="115">
        <v>23</v>
      </c>
      <c r="B26" s="116" t="s">
        <v>60</v>
      </c>
      <c r="C26" s="115" t="s">
        <v>77</v>
      </c>
      <c r="D26" s="115" t="s">
        <v>237</v>
      </c>
      <c r="E26" s="115" t="s">
        <v>230</v>
      </c>
      <c r="F26" s="117">
        <v>45314</v>
      </c>
      <c r="G26" s="117">
        <v>45321</v>
      </c>
      <c r="H26" s="115">
        <f t="shared" si="0"/>
        <v>7</v>
      </c>
      <c r="I26" s="115" t="str">
        <f t="shared" si="1"/>
        <v>In Progress</v>
      </c>
      <c r="J26" s="118">
        <v>0.65</v>
      </c>
      <c r="K26" s="115" t="s">
        <v>106</v>
      </c>
      <c r="L26" s="119">
        <v>5000</v>
      </c>
      <c r="M26" s="115">
        <v>80</v>
      </c>
      <c r="N26" s="119">
        <f t="shared" si="2"/>
        <v>35000</v>
      </c>
      <c r="O26" s="115" t="s">
        <v>108</v>
      </c>
      <c r="P26" s="115" t="str">
        <f t="shared" si="3"/>
        <v>In Progress</v>
      </c>
      <c r="Q26" s="115"/>
      <c r="R26" s="115"/>
    </row>
    <row r="27" spans="1:18" ht="15" customHeight="1" x14ac:dyDescent="0.25">
      <c r="A27" s="120">
        <v>24</v>
      </c>
      <c r="B27" s="121" t="s">
        <v>64</v>
      </c>
      <c r="C27" s="120" t="s">
        <v>86</v>
      </c>
      <c r="D27" s="120" t="s">
        <v>140</v>
      </c>
      <c r="E27" s="120" t="s">
        <v>146</v>
      </c>
      <c r="F27" s="122">
        <v>45437</v>
      </c>
      <c r="G27" s="122">
        <v>45465</v>
      </c>
      <c r="H27" s="120">
        <f t="shared" si="0"/>
        <v>28</v>
      </c>
      <c r="I27" s="120" t="str">
        <f t="shared" si="1"/>
        <v>In Progress</v>
      </c>
      <c r="J27" s="123">
        <v>0.5</v>
      </c>
      <c r="K27" s="120" t="s">
        <v>73</v>
      </c>
      <c r="L27" s="124">
        <v>3000</v>
      </c>
      <c r="M27" s="120">
        <v>120</v>
      </c>
      <c r="N27" s="124">
        <f t="shared" si="2"/>
        <v>84000</v>
      </c>
      <c r="O27" s="120" t="s">
        <v>108</v>
      </c>
      <c r="P27" s="120" t="str">
        <f t="shared" si="3"/>
        <v>In Progress</v>
      </c>
      <c r="Q27" s="120"/>
      <c r="R27" s="120"/>
    </row>
    <row r="28" spans="1:18" ht="15" customHeight="1" x14ac:dyDescent="0.25">
      <c r="A28" s="120">
        <v>25</v>
      </c>
      <c r="B28" s="121" t="s">
        <v>68</v>
      </c>
      <c r="C28" s="120" t="s">
        <v>55</v>
      </c>
      <c r="D28" s="120" t="s">
        <v>140</v>
      </c>
      <c r="E28" s="120" t="s">
        <v>129</v>
      </c>
      <c r="F28" s="122">
        <v>45434</v>
      </c>
      <c r="G28" s="122">
        <v>45444</v>
      </c>
      <c r="H28" s="120">
        <f t="shared" si="0"/>
        <v>10</v>
      </c>
      <c r="I28" s="120" t="str">
        <f t="shared" si="1"/>
        <v>In Progress</v>
      </c>
      <c r="J28" s="123">
        <v>0.25</v>
      </c>
      <c r="K28" s="120" t="s">
        <v>56</v>
      </c>
      <c r="L28" s="124">
        <v>5500</v>
      </c>
      <c r="M28" s="120">
        <v>140</v>
      </c>
      <c r="N28" s="124">
        <f t="shared" si="2"/>
        <v>55000</v>
      </c>
      <c r="O28" s="120" t="s">
        <v>186</v>
      </c>
      <c r="P28" s="120" t="str">
        <f t="shared" si="3"/>
        <v>In Progress</v>
      </c>
      <c r="Q28" s="120"/>
      <c r="R28" s="120"/>
    </row>
    <row r="29" spans="1:18" ht="15" customHeight="1" x14ac:dyDescent="0.25">
      <c r="A29" s="125">
        <v>26</v>
      </c>
      <c r="B29" s="126" t="s">
        <v>70</v>
      </c>
      <c r="C29" s="125" t="s">
        <v>67</v>
      </c>
      <c r="D29" s="125" t="s">
        <v>302</v>
      </c>
      <c r="E29" s="125" t="s">
        <v>103</v>
      </c>
      <c r="F29" s="127">
        <v>45401</v>
      </c>
      <c r="G29" s="127">
        <v>45411</v>
      </c>
      <c r="H29" s="125">
        <f t="shared" si="0"/>
        <v>10</v>
      </c>
      <c r="I29" s="125" t="str">
        <f t="shared" si="1"/>
        <v>In Progress</v>
      </c>
      <c r="J29" s="128">
        <v>1</v>
      </c>
      <c r="K29" s="125" t="s">
        <v>73</v>
      </c>
      <c r="L29" s="129">
        <v>5000</v>
      </c>
      <c r="M29" s="125">
        <v>120</v>
      </c>
      <c r="N29" s="129">
        <f t="shared" si="2"/>
        <v>50000</v>
      </c>
      <c r="O29" s="125" t="s">
        <v>186</v>
      </c>
      <c r="P29" s="125" t="str">
        <f t="shared" si="3"/>
        <v>In Progress</v>
      </c>
      <c r="Q29" s="125"/>
      <c r="R29" s="125"/>
    </row>
    <row r="30" spans="1:18" ht="15" customHeight="1" x14ac:dyDescent="0.25">
      <c r="A30" s="125">
        <v>27</v>
      </c>
      <c r="B30" s="126" t="s">
        <v>74</v>
      </c>
      <c r="C30" s="125" t="s">
        <v>77</v>
      </c>
      <c r="D30" s="125" t="s">
        <v>145</v>
      </c>
      <c r="E30" s="125" t="s">
        <v>191</v>
      </c>
      <c r="F30" s="127">
        <v>45332</v>
      </c>
      <c r="G30" s="127">
        <v>45344</v>
      </c>
      <c r="H30" s="125">
        <f t="shared" si="0"/>
        <v>12</v>
      </c>
      <c r="I30" s="125" t="str">
        <f t="shared" si="1"/>
        <v>In Progress</v>
      </c>
      <c r="J30" s="128">
        <v>1</v>
      </c>
      <c r="K30" s="125" t="s">
        <v>63</v>
      </c>
      <c r="L30" s="129">
        <v>3500</v>
      </c>
      <c r="M30" s="125">
        <v>0</v>
      </c>
      <c r="N30" s="129">
        <f t="shared" si="2"/>
        <v>42000</v>
      </c>
      <c r="O30" s="125" t="s">
        <v>175</v>
      </c>
      <c r="P30" s="125" t="str">
        <f t="shared" si="3"/>
        <v>In Progress</v>
      </c>
      <c r="Q30" s="125"/>
      <c r="R30" s="125"/>
    </row>
    <row r="31" spans="1:18" ht="15" customHeight="1" x14ac:dyDescent="0.25">
      <c r="A31" s="125">
        <v>28</v>
      </c>
      <c r="B31" s="126" t="s">
        <v>78</v>
      </c>
      <c r="C31" s="125" t="s">
        <v>86</v>
      </c>
      <c r="D31" s="125" t="s">
        <v>302</v>
      </c>
      <c r="E31" s="125" t="s">
        <v>230</v>
      </c>
      <c r="F31" s="127">
        <v>45316</v>
      </c>
      <c r="G31" s="127">
        <v>45330</v>
      </c>
      <c r="H31" s="125">
        <f t="shared" si="0"/>
        <v>14</v>
      </c>
      <c r="I31" s="125" t="str">
        <f t="shared" si="1"/>
        <v>In Progress</v>
      </c>
      <c r="J31" s="128">
        <v>0.4</v>
      </c>
      <c r="K31" s="125" t="s">
        <v>56</v>
      </c>
      <c r="L31" s="129">
        <v>3500</v>
      </c>
      <c r="M31" s="125">
        <v>100</v>
      </c>
      <c r="N31" s="129">
        <f t="shared" si="2"/>
        <v>49000</v>
      </c>
      <c r="O31" s="125" t="s">
        <v>175</v>
      </c>
      <c r="P31" s="125" t="str">
        <f t="shared" si="3"/>
        <v>In Progress</v>
      </c>
      <c r="Q31" s="125"/>
      <c r="R31" s="125"/>
    </row>
    <row r="32" spans="1:18" ht="15" customHeight="1" x14ac:dyDescent="0.25">
      <c r="A32" s="125">
        <v>29</v>
      </c>
      <c r="B32" s="126" t="s">
        <v>80</v>
      </c>
      <c r="C32" s="125" t="s">
        <v>55</v>
      </c>
      <c r="D32" s="125" t="s">
        <v>164</v>
      </c>
      <c r="E32" s="125" t="s">
        <v>146</v>
      </c>
      <c r="F32" s="127">
        <v>45402</v>
      </c>
      <c r="G32" s="127">
        <v>45423</v>
      </c>
      <c r="H32" s="125">
        <f t="shared" si="0"/>
        <v>21</v>
      </c>
      <c r="I32" s="125" t="str">
        <f t="shared" si="1"/>
        <v>In Progress</v>
      </c>
      <c r="J32" s="128">
        <v>0.75</v>
      </c>
      <c r="K32" s="125" t="s">
        <v>106</v>
      </c>
      <c r="L32" s="129">
        <v>4000</v>
      </c>
      <c r="M32" s="125">
        <v>80</v>
      </c>
      <c r="N32" s="129">
        <f t="shared" si="2"/>
        <v>84000</v>
      </c>
      <c r="O32" s="125" t="s">
        <v>108</v>
      </c>
      <c r="P32" s="125" t="str">
        <f t="shared" si="3"/>
        <v>In Progress</v>
      </c>
      <c r="Q32" s="125"/>
      <c r="R32" s="125"/>
    </row>
    <row r="33" spans="1:18" ht="15" customHeight="1" x14ac:dyDescent="0.25">
      <c r="A33" s="120">
        <v>30</v>
      </c>
      <c r="B33" s="121" t="s">
        <v>83</v>
      </c>
      <c r="C33" s="120" t="s">
        <v>67</v>
      </c>
      <c r="D33" s="120" t="s">
        <v>187</v>
      </c>
      <c r="E33" s="120" t="s">
        <v>129</v>
      </c>
      <c r="F33" s="122">
        <v>45383</v>
      </c>
      <c r="G33" s="122">
        <v>45397</v>
      </c>
      <c r="H33" s="120">
        <f t="shared" si="0"/>
        <v>14</v>
      </c>
      <c r="I33" s="120" t="str">
        <f t="shared" si="1"/>
        <v>In Progress</v>
      </c>
      <c r="J33" s="123">
        <v>0.25</v>
      </c>
      <c r="K33" s="120" t="s">
        <v>106</v>
      </c>
      <c r="L33" s="124">
        <v>4000</v>
      </c>
      <c r="M33" s="120">
        <v>168</v>
      </c>
      <c r="N33" s="124">
        <f t="shared" si="2"/>
        <v>56000</v>
      </c>
      <c r="O33" s="120" t="s">
        <v>108</v>
      </c>
      <c r="P33" s="120" t="str">
        <f t="shared" si="3"/>
        <v>In Progress</v>
      </c>
      <c r="Q33" s="120"/>
      <c r="R33" s="120"/>
    </row>
    <row r="34" spans="1:18" ht="15" customHeight="1" x14ac:dyDescent="0.25">
      <c r="A34" s="120">
        <v>31</v>
      </c>
      <c r="B34" s="121" t="s">
        <v>52</v>
      </c>
      <c r="C34" s="120" t="s">
        <v>77</v>
      </c>
      <c r="D34" s="120" t="s">
        <v>187</v>
      </c>
      <c r="E34" s="120" t="s">
        <v>103</v>
      </c>
      <c r="F34" s="122">
        <v>45298</v>
      </c>
      <c r="G34" s="122">
        <v>45319</v>
      </c>
      <c r="H34" s="120">
        <f t="shared" si="0"/>
        <v>21</v>
      </c>
      <c r="I34" s="120" t="str">
        <f t="shared" si="1"/>
        <v>In Progress</v>
      </c>
      <c r="J34" s="123">
        <v>0.5</v>
      </c>
      <c r="K34" s="120" t="s">
        <v>73</v>
      </c>
      <c r="L34" s="124">
        <v>4200</v>
      </c>
      <c r="M34" s="120">
        <v>0</v>
      </c>
      <c r="N34" s="124">
        <f t="shared" si="2"/>
        <v>88200</v>
      </c>
      <c r="O34" s="120" t="s">
        <v>108</v>
      </c>
      <c r="P34" s="120" t="str">
        <f t="shared" si="3"/>
        <v>In Progress</v>
      </c>
      <c r="Q34" s="120"/>
      <c r="R34" s="120"/>
    </row>
    <row r="35" spans="1:18" ht="15" customHeight="1" x14ac:dyDescent="0.25">
      <c r="A35" s="120">
        <v>32</v>
      </c>
      <c r="B35" s="121" t="s">
        <v>57</v>
      </c>
      <c r="C35" s="120" t="s">
        <v>86</v>
      </c>
      <c r="D35" s="120" t="s">
        <v>187</v>
      </c>
      <c r="E35" s="120" t="s">
        <v>191</v>
      </c>
      <c r="F35" s="122">
        <v>45391</v>
      </c>
      <c r="G35" s="122">
        <v>45403</v>
      </c>
      <c r="H35" s="120">
        <f t="shared" si="0"/>
        <v>12</v>
      </c>
      <c r="I35" s="120" t="str">
        <f t="shared" si="1"/>
        <v>In Progress</v>
      </c>
      <c r="J35" s="123">
        <v>0.65</v>
      </c>
      <c r="K35" s="120" t="s">
        <v>73</v>
      </c>
      <c r="L35" s="124">
        <v>5500</v>
      </c>
      <c r="M35" s="120">
        <v>80</v>
      </c>
      <c r="N35" s="124">
        <f t="shared" si="2"/>
        <v>66000</v>
      </c>
      <c r="O35" s="120" t="s">
        <v>186</v>
      </c>
      <c r="P35" s="120" t="str">
        <f t="shared" si="3"/>
        <v>In Progress</v>
      </c>
      <c r="Q35" s="120"/>
      <c r="R35" s="120"/>
    </row>
    <row r="36" spans="1:18" ht="15" customHeight="1" x14ac:dyDescent="0.25">
      <c r="A36" s="115">
        <v>33</v>
      </c>
      <c r="B36" s="116" t="s">
        <v>60</v>
      </c>
      <c r="C36" s="115" t="s">
        <v>55</v>
      </c>
      <c r="D36" s="115" t="s">
        <v>116</v>
      </c>
      <c r="E36" s="115" t="s">
        <v>230</v>
      </c>
      <c r="F36" s="117">
        <v>45406</v>
      </c>
      <c r="G36" s="117">
        <v>45434</v>
      </c>
      <c r="H36" s="115">
        <f t="shared" ref="H36:H67" si="4">IF(OR(F36="",G36=""),"",G36-F36)</f>
        <v>28</v>
      </c>
      <c r="I36" s="115" t="str">
        <f t="shared" ref="I36:I67" si="5">IFERROR(IF(VALUE(SUBSTITUTE(SUBSTITUTE(J36,"%","")," ",""))&lt;=0,"Not Started",IF(VALUE(SUBSTITUTE(SUBSTITUTE(J36,"%","")," ",""))&gt;=100,"Completed","In Progress")),"Not Started")</f>
        <v>Not Started</v>
      </c>
      <c r="J36" s="118">
        <v>0</v>
      </c>
      <c r="K36" s="115" t="s">
        <v>63</v>
      </c>
      <c r="L36" s="119">
        <v>4000</v>
      </c>
      <c r="M36" s="115">
        <v>140</v>
      </c>
      <c r="N36" s="119">
        <f t="shared" ref="N36:N67" si="6">IF(OR(L36="",H36=""),"",L36*H36)</f>
        <v>112000</v>
      </c>
      <c r="O36" s="115" t="s">
        <v>186</v>
      </c>
      <c r="P36" s="115" t="str">
        <f t="shared" ref="P36:P67" si="7">IFERROR(IF(VALUE(SUBSTITUTE(SUBSTITUTE(J36,"%","")," ",""))&gt;=100,"Completed",IF(VALUE(SUBSTITUTE(SUBSTITUTE(J36,"%","")," ",""))&lt;=0,"Not Started","In Progress")),"Not Started")</f>
        <v>Not Started</v>
      </c>
      <c r="Q36" s="115"/>
      <c r="R36" s="115"/>
    </row>
    <row r="37" spans="1:18" ht="15" customHeight="1" x14ac:dyDescent="0.25">
      <c r="A37" s="115">
        <v>34</v>
      </c>
      <c r="B37" s="116" t="s">
        <v>64</v>
      </c>
      <c r="C37" s="115" t="s">
        <v>67</v>
      </c>
      <c r="D37" s="115" t="s">
        <v>128</v>
      </c>
      <c r="E37" s="115" t="s">
        <v>146</v>
      </c>
      <c r="F37" s="117">
        <v>45357</v>
      </c>
      <c r="G37" s="117">
        <v>45367</v>
      </c>
      <c r="H37" s="115">
        <f t="shared" si="4"/>
        <v>10</v>
      </c>
      <c r="I37" s="115" t="str">
        <f t="shared" si="5"/>
        <v>In Progress</v>
      </c>
      <c r="J37" s="118">
        <v>0.5</v>
      </c>
      <c r="K37" s="115" t="s">
        <v>73</v>
      </c>
      <c r="L37" s="119">
        <v>5000</v>
      </c>
      <c r="M37" s="115">
        <v>60</v>
      </c>
      <c r="N37" s="119">
        <f t="shared" si="6"/>
        <v>50000</v>
      </c>
      <c r="O37" s="115" t="s">
        <v>194</v>
      </c>
      <c r="P37" s="115" t="str">
        <f t="shared" si="7"/>
        <v>In Progress</v>
      </c>
      <c r="Q37" s="115"/>
      <c r="R37" s="115"/>
    </row>
    <row r="38" spans="1:18" ht="15" customHeight="1" x14ac:dyDescent="0.25">
      <c r="A38" s="115">
        <v>35</v>
      </c>
      <c r="B38" s="116" t="s">
        <v>68</v>
      </c>
      <c r="C38" s="115" t="s">
        <v>77</v>
      </c>
      <c r="D38" s="115" t="s">
        <v>201</v>
      </c>
      <c r="E38" s="115" t="s">
        <v>129</v>
      </c>
      <c r="F38" s="117">
        <v>45402</v>
      </c>
      <c r="G38" s="117">
        <v>45412</v>
      </c>
      <c r="H38" s="115">
        <f t="shared" si="4"/>
        <v>10</v>
      </c>
      <c r="I38" s="115" t="str">
        <f t="shared" si="5"/>
        <v>In Progress</v>
      </c>
      <c r="J38" s="118">
        <v>0.5</v>
      </c>
      <c r="K38" s="115" t="s">
        <v>56</v>
      </c>
      <c r="L38" s="119">
        <v>2000</v>
      </c>
      <c r="M38" s="115">
        <v>168</v>
      </c>
      <c r="N38" s="119">
        <f t="shared" si="6"/>
        <v>20000</v>
      </c>
      <c r="O38" s="115" t="s">
        <v>194</v>
      </c>
      <c r="P38" s="115" t="str">
        <f t="shared" si="7"/>
        <v>In Progress</v>
      </c>
      <c r="Q38" s="115"/>
      <c r="R38" s="115"/>
    </row>
    <row r="39" spans="1:18" ht="15" customHeight="1" x14ac:dyDescent="0.25">
      <c r="A39" s="120">
        <v>36</v>
      </c>
      <c r="B39" s="121" t="s">
        <v>70</v>
      </c>
      <c r="C39" s="120" t="s">
        <v>86</v>
      </c>
      <c r="D39" s="120" t="s">
        <v>128</v>
      </c>
      <c r="E39" s="120" t="s">
        <v>103</v>
      </c>
      <c r="F39" s="122">
        <v>45383</v>
      </c>
      <c r="G39" s="122">
        <v>45397</v>
      </c>
      <c r="H39" s="120">
        <f t="shared" si="4"/>
        <v>14</v>
      </c>
      <c r="I39" s="120" t="str">
        <f t="shared" si="5"/>
        <v>In Progress</v>
      </c>
      <c r="J39" s="123">
        <v>0.5</v>
      </c>
      <c r="K39" s="120" t="s">
        <v>73</v>
      </c>
      <c r="L39" s="124">
        <v>4200</v>
      </c>
      <c r="M39" s="120">
        <v>80</v>
      </c>
      <c r="N39" s="124">
        <f t="shared" si="6"/>
        <v>58800</v>
      </c>
      <c r="O39" s="120" t="s">
        <v>186</v>
      </c>
      <c r="P39" s="120" t="str">
        <f t="shared" si="7"/>
        <v>In Progress</v>
      </c>
      <c r="Q39" s="120"/>
      <c r="R39" s="120"/>
    </row>
    <row r="40" spans="1:18" ht="15" customHeight="1" x14ac:dyDescent="0.25">
      <c r="A40" s="115">
        <v>37</v>
      </c>
      <c r="B40" s="116" t="s">
        <v>74</v>
      </c>
      <c r="C40" s="115" t="s">
        <v>55</v>
      </c>
      <c r="D40" s="115" t="s">
        <v>201</v>
      </c>
      <c r="E40" s="115" t="s">
        <v>191</v>
      </c>
      <c r="F40" s="117">
        <v>45441</v>
      </c>
      <c r="G40" s="117">
        <v>45469</v>
      </c>
      <c r="H40" s="115">
        <f t="shared" si="4"/>
        <v>28</v>
      </c>
      <c r="I40" s="115" t="str">
        <f t="shared" si="5"/>
        <v>In Progress</v>
      </c>
      <c r="J40" s="118">
        <v>0.25</v>
      </c>
      <c r="K40" s="115" t="s">
        <v>63</v>
      </c>
      <c r="L40" s="119">
        <v>5500</v>
      </c>
      <c r="M40" s="115">
        <v>120</v>
      </c>
      <c r="N40" s="119">
        <f t="shared" si="6"/>
        <v>154000</v>
      </c>
      <c r="O40" s="115" t="s">
        <v>186</v>
      </c>
      <c r="P40" s="115" t="str">
        <f t="shared" si="7"/>
        <v>In Progress</v>
      </c>
      <c r="Q40" s="115"/>
      <c r="R40" s="115"/>
    </row>
    <row r="41" spans="1:18" ht="15" customHeight="1" x14ac:dyDescent="0.25">
      <c r="A41" s="115">
        <v>38</v>
      </c>
      <c r="B41" s="116" t="s">
        <v>78</v>
      </c>
      <c r="C41" s="115" t="s">
        <v>67</v>
      </c>
      <c r="D41" s="115" t="s">
        <v>261</v>
      </c>
      <c r="E41" s="115" t="s">
        <v>230</v>
      </c>
      <c r="F41" s="117">
        <v>45431</v>
      </c>
      <c r="G41" s="117">
        <v>45452</v>
      </c>
      <c r="H41" s="115">
        <f t="shared" si="4"/>
        <v>21</v>
      </c>
      <c r="I41" s="115" t="str">
        <f t="shared" si="5"/>
        <v>In Progress</v>
      </c>
      <c r="J41" s="118">
        <v>0.4</v>
      </c>
      <c r="K41" s="115" t="s">
        <v>63</v>
      </c>
      <c r="L41" s="119">
        <v>5000</v>
      </c>
      <c r="M41" s="115">
        <v>0</v>
      </c>
      <c r="N41" s="119">
        <f t="shared" si="6"/>
        <v>105000</v>
      </c>
      <c r="O41" s="115" t="s">
        <v>108</v>
      </c>
      <c r="P41" s="115" t="str">
        <f t="shared" si="7"/>
        <v>In Progress</v>
      </c>
      <c r="Q41" s="115"/>
      <c r="R41" s="115"/>
    </row>
    <row r="42" spans="1:18" ht="15" customHeight="1" x14ac:dyDescent="0.25">
      <c r="A42" s="120">
        <v>39</v>
      </c>
      <c r="B42" s="121" t="s">
        <v>80</v>
      </c>
      <c r="C42" s="120" t="s">
        <v>77</v>
      </c>
      <c r="D42" s="120" t="s">
        <v>72</v>
      </c>
      <c r="E42" s="120" t="s">
        <v>146</v>
      </c>
      <c r="F42" s="122">
        <v>45431</v>
      </c>
      <c r="G42" s="122">
        <v>45445</v>
      </c>
      <c r="H42" s="120">
        <f t="shared" si="4"/>
        <v>14</v>
      </c>
      <c r="I42" s="120" t="str">
        <f t="shared" si="5"/>
        <v>In Progress</v>
      </c>
      <c r="J42" s="123">
        <v>0.75</v>
      </c>
      <c r="K42" s="120" t="s">
        <v>106</v>
      </c>
      <c r="L42" s="124">
        <v>4000</v>
      </c>
      <c r="M42" s="120">
        <v>0</v>
      </c>
      <c r="N42" s="124">
        <f t="shared" si="6"/>
        <v>56000</v>
      </c>
      <c r="O42" s="120" t="s">
        <v>186</v>
      </c>
      <c r="P42" s="120" t="str">
        <f t="shared" si="7"/>
        <v>In Progress</v>
      </c>
      <c r="Q42" s="120"/>
      <c r="R42" s="120"/>
    </row>
    <row r="43" spans="1:18" ht="15" customHeight="1" x14ac:dyDescent="0.25">
      <c r="A43" s="120">
        <v>40</v>
      </c>
      <c r="B43" s="121" t="s">
        <v>83</v>
      </c>
      <c r="C43" s="120" t="s">
        <v>86</v>
      </c>
      <c r="D43" s="120" t="s">
        <v>237</v>
      </c>
      <c r="E43" s="120" t="s">
        <v>129</v>
      </c>
      <c r="F43" s="122">
        <v>45419</v>
      </c>
      <c r="G43" s="122">
        <v>45429</v>
      </c>
      <c r="H43" s="120">
        <f t="shared" si="4"/>
        <v>10</v>
      </c>
      <c r="I43" s="120" t="str">
        <f t="shared" si="5"/>
        <v>In Progress</v>
      </c>
      <c r="J43" s="123">
        <v>0.75</v>
      </c>
      <c r="K43" s="120" t="s">
        <v>73</v>
      </c>
      <c r="L43" s="124">
        <v>3500</v>
      </c>
      <c r="M43" s="120">
        <v>160</v>
      </c>
      <c r="N43" s="124">
        <f t="shared" si="6"/>
        <v>35000</v>
      </c>
      <c r="O43" s="120" t="s">
        <v>186</v>
      </c>
      <c r="P43" s="120" t="str">
        <f t="shared" si="7"/>
        <v>In Progress</v>
      </c>
      <c r="Q43" s="120"/>
      <c r="R43" s="120"/>
    </row>
    <row r="44" spans="1:18" ht="15" customHeight="1" x14ac:dyDescent="0.25">
      <c r="A44" s="115">
        <v>41</v>
      </c>
      <c r="B44" s="116" t="s">
        <v>52</v>
      </c>
      <c r="C44" s="115" t="s">
        <v>55</v>
      </c>
      <c r="D44" s="115" t="s">
        <v>145</v>
      </c>
      <c r="E44" s="115" t="s">
        <v>103</v>
      </c>
      <c r="F44" s="117">
        <v>45350</v>
      </c>
      <c r="G44" s="117">
        <v>45357</v>
      </c>
      <c r="H44" s="115">
        <f t="shared" si="4"/>
        <v>7</v>
      </c>
      <c r="I44" s="115" t="str">
        <f t="shared" si="5"/>
        <v>In Progress</v>
      </c>
      <c r="J44" s="118">
        <v>0.65</v>
      </c>
      <c r="K44" s="115" t="s">
        <v>56</v>
      </c>
      <c r="L44" s="119">
        <v>3000</v>
      </c>
      <c r="M44" s="115">
        <v>60</v>
      </c>
      <c r="N44" s="119">
        <f t="shared" si="6"/>
        <v>21000</v>
      </c>
      <c r="O44" s="115" t="s">
        <v>194</v>
      </c>
      <c r="P44" s="115" t="str">
        <f t="shared" si="7"/>
        <v>In Progress</v>
      </c>
      <c r="Q44" s="115"/>
      <c r="R44" s="115"/>
    </row>
    <row r="45" spans="1:18" ht="15" customHeight="1" x14ac:dyDescent="0.25">
      <c r="A45" s="125">
        <v>42</v>
      </c>
      <c r="B45" s="126" t="s">
        <v>57</v>
      </c>
      <c r="C45" s="125" t="s">
        <v>67</v>
      </c>
      <c r="D45" s="125" t="s">
        <v>154</v>
      </c>
      <c r="E45" s="125" t="s">
        <v>191</v>
      </c>
      <c r="F45" s="127">
        <v>45401</v>
      </c>
      <c r="G45" s="127">
        <v>45411</v>
      </c>
      <c r="H45" s="125">
        <f t="shared" si="4"/>
        <v>10</v>
      </c>
      <c r="I45" s="125" t="str">
        <f t="shared" si="5"/>
        <v>In Progress</v>
      </c>
      <c r="J45" s="128">
        <v>0.75</v>
      </c>
      <c r="K45" s="125" t="s">
        <v>106</v>
      </c>
      <c r="L45" s="129">
        <v>5500</v>
      </c>
      <c r="M45" s="125">
        <v>120</v>
      </c>
      <c r="N45" s="129">
        <f t="shared" si="6"/>
        <v>55000</v>
      </c>
      <c r="O45" s="125" t="s">
        <v>186</v>
      </c>
      <c r="P45" s="125" t="str">
        <f t="shared" si="7"/>
        <v>In Progress</v>
      </c>
      <c r="Q45" s="125"/>
      <c r="R45" s="125"/>
    </row>
    <row r="46" spans="1:18" ht="15" customHeight="1" x14ac:dyDescent="0.25">
      <c r="A46" s="125">
        <v>43</v>
      </c>
      <c r="B46" s="126" t="s">
        <v>60</v>
      </c>
      <c r="C46" s="125" t="s">
        <v>77</v>
      </c>
      <c r="D46" s="125" t="s">
        <v>302</v>
      </c>
      <c r="E46" s="125" t="s">
        <v>230</v>
      </c>
      <c r="F46" s="127">
        <v>45377</v>
      </c>
      <c r="G46" s="127">
        <v>45391</v>
      </c>
      <c r="H46" s="125">
        <f t="shared" si="4"/>
        <v>14</v>
      </c>
      <c r="I46" s="125" t="str">
        <f t="shared" si="5"/>
        <v>In Progress</v>
      </c>
      <c r="J46" s="128">
        <v>0.25</v>
      </c>
      <c r="K46" s="125" t="s">
        <v>106</v>
      </c>
      <c r="L46" s="129">
        <v>4000</v>
      </c>
      <c r="M46" s="125">
        <v>0</v>
      </c>
      <c r="N46" s="129">
        <f t="shared" si="6"/>
        <v>56000</v>
      </c>
      <c r="O46" s="125" t="s">
        <v>169</v>
      </c>
      <c r="P46" s="125" t="str">
        <f t="shared" si="7"/>
        <v>In Progress</v>
      </c>
      <c r="Q46" s="125"/>
      <c r="R46" s="125"/>
    </row>
    <row r="47" spans="1:18" ht="15" customHeight="1" x14ac:dyDescent="0.25">
      <c r="A47" s="115">
        <v>44</v>
      </c>
      <c r="B47" s="116" t="s">
        <v>64</v>
      </c>
      <c r="C47" s="115" t="s">
        <v>86</v>
      </c>
      <c r="D47" s="115" t="s">
        <v>154</v>
      </c>
      <c r="E47" s="115" t="s">
        <v>146</v>
      </c>
      <c r="F47" s="117">
        <v>45301</v>
      </c>
      <c r="G47" s="117">
        <v>45308</v>
      </c>
      <c r="H47" s="115">
        <f t="shared" si="4"/>
        <v>7</v>
      </c>
      <c r="I47" s="115" t="str">
        <f t="shared" si="5"/>
        <v>In Progress</v>
      </c>
      <c r="J47" s="118">
        <v>0.4</v>
      </c>
      <c r="K47" s="115" t="s">
        <v>56</v>
      </c>
      <c r="L47" s="119">
        <v>5500</v>
      </c>
      <c r="M47" s="115">
        <v>0</v>
      </c>
      <c r="N47" s="119">
        <f t="shared" si="6"/>
        <v>38500</v>
      </c>
      <c r="O47" s="115" t="s">
        <v>108</v>
      </c>
      <c r="P47" s="115" t="str">
        <f t="shared" si="7"/>
        <v>In Progress</v>
      </c>
      <c r="Q47" s="115"/>
      <c r="R47" s="115"/>
    </row>
    <row r="48" spans="1:18" ht="15" customHeight="1" x14ac:dyDescent="0.25">
      <c r="A48" s="125">
        <v>45</v>
      </c>
      <c r="B48" s="126" t="s">
        <v>68</v>
      </c>
      <c r="C48" s="125" t="s">
        <v>55</v>
      </c>
      <c r="D48" s="125" t="s">
        <v>164</v>
      </c>
      <c r="E48" s="125" t="s">
        <v>129</v>
      </c>
      <c r="F48" s="127">
        <v>45363</v>
      </c>
      <c r="G48" s="127">
        <v>45377</v>
      </c>
      <c r="H48" s="125">
        <f t="shared" si="4"/>
        <v>14</v>
      </c>
      <c r="I48" s="125" t="str">
        <f t="shared" si="5"/>
        <v>In Progress</v>
      </c>
      <c r="J48" s="128">
        <v>0.65</v>
      </c>
      <c r="K48" s="125" t="s">
        <v>56</v>
      </c>
      <c r="L48" s="129">
        <v>4000</v>
      </c>
      <c r="M48" s="125">
        <v>60</v>
      </c>
      <c r="N48" s="129">
        <f t="shared" si="6"/>
        <v>56000</v>
      </c>
      <c r="O48" s="125" t="s">
        <v>186</v>
      </c>
      <c r="P48" s="125" t="str">
        <f t="shared" si="7"/>
        <v>In Progress</v>
      </c>
      <c r="Q48" s="125"/>
      <c r="R48" s="125"/>
    </row>
    <row r="49" spans="1:18" ht="15" customHeight="1" x14ac:dyDescent="0.25">
      <c r="A49" s="125">
        <v>46</v>
      </c>
      <c r="B49" s="126" t="s">
        <v>70</v>
      </c>
      <c r="C49" s="125" t="s">
        <v>67</v>
      </c>
      <c r="D49" s="125" t="s">
        <v>176</v>
      </c>
      <c r="E49" s="125" t="s">
        <v>103</v>
      </c>
      <c r="F49" s="127">
        <v>45318</v>
      </c>
      <c r="G49" s="127">
        <v>45328</v>
      </c>
      <c r="H49" s="125">
        <f t="shared" si="4"/>
        <v>10</v>
      </c>
      <c r="I49" s="125" t="str">
        <f t="shared" si="5"/>
        <v>In Progress</v>
      </c>
      <c r="J49" s="128">
        <v>1</v>
      </c>
      <c r="K49" s="125" t="s">
        <v>73</v>
      </c>
      <c r="L49" s="129">
        <v>3500</v>
      </c>
      <c r="M49" s="125">
        <v>80</v>
      </c>
      <c r="N49" s="129">
        <f t="shared" si="6"/>
        <v>35000</v>
      </c>
      <c r="O49" s="125" t="s">
        <v>186</v>
      </c>
      <c r="P49" s="125" t="str">
        <f t="shared" si="7"/>
        <v>In Progress</v>
      </c>
      <c r="Q49" s="125"/>
      <c r="R49" s="125"/>
    </row>
    <row r="50" spans="1:18" ht="15" customHeight="1" x14ac:dyDescent="0.25">
      <c r="A50" s="115">
        <v>47</v>
      </c>
      <c r="B50" s="116" t="s">
        <v>74</v>
      </c>
      <c r="C50" s="115" t="s">
        <v>77</v>
      </c>
      <c r="D50" s="115" t="s">
        <v>102</v>
      </c>
      <c r="E50" s="115" t="s">
        <v>191</v>
      </c>
      <c r="F50" s="117">
        <v>45357</v>
      </c>
      <c r="G50" s="117">
        <v>45364</v>
      </c>
      <c r="H50" s="115">
        <f t="shared" si="4"/>
        <v>7</v>
      </c>
      <c r="I50" s="115" t="str">
        <f t="shared" si="5"/>
        <v>In Progress</v>
      </c>
      <c r="J50" s="118">
        <v>0.4</v>
      </c>
      <c r="K50" s="115" t="s">
        <v>73</v>
      </c>
      <c r="L50" s="119">
        <v>4000</v>
      </c>
      <c r="M50" s="115">
        <v>120</v>
      </c>
      <c r="N50" s="119">
        <f t="shared" si="6"/>
        <v>28000</v>
      </c>
      <c r="O50" s="115" t="s">
        <v>175</v>
      </c>
      <c r="P50" s="115" t="str">
        <f t="shared" si="7"/>
        <v>In Progress</v>
      </c>
      <c r="Q50" s="115"/>
      <c r="R50" s="115"/>
    </row>
    <row r="51" spans="1:18" ht="15" customHeight="1" x14ac:dyDescent="0.25">
      <c r="A51" s="125">
        <v>48</v>
      </c>
      <c r="B51" s="126" t="s">
        <v>83</v>
      </c>
      <c r="C51" s="125" t="s">
        <v>86</v>
      </c>
      <c r="D51" s="125" t="s">
        <v>195</v>
      </c>
      <c r="E51" s="125" t="s">
        <v>129</v>
      </c>
      <c r="F51" s="127">
        <v>45379</v>
      </c>
      <c r="G51" s="127">
        <v>45386</v>
      </c>
      <c r="H51" s="125">
        <f t="shared" si="4"/>
        <v>7</v>
      </c>
      <c r="I51" s="125" t="str">
        <f t="shared" si="5"/>
        <v>Not Started</v>
      </c>
      <c r="J51" s="128">
        <v>0</v>
      </c>
      <c r="K51" s="125" t="s">
        <v>106</v>
      </c>
      <c r="L51" s="129">
        <v>5000</v>
      </c>
      <c r="M51" s="125">
        <v>140</v>
      </c>
      <c r="N51" s="129">
        <f t="shared" si="6"/>
        <v>35000</v>
      </c>
      <c r="O51" s="125" t="s">
        <v>186</v>
      </c>
      <c r="P51" s="125" t="str">
        <f t="shared" si="7"/>
        <v>Not Started</v>
      </c>
      <c r="Q51" s="125"/>
      <c r="R51" s="125"/>
    </row>
    <row r="52" spans="1:18" ht="15" customHeight="1" x14ac:dyDescent="0.25">
      <c r="A52" s="125">
        <v>49</v>
      </c>
      <c r="B52" s="126" t="s">
        <v>80</v>
      </c>
      <c r="C52" s="125" t="s">
        <v>55</v>
      </c>
      <c r="D52" s="125" t="s">
        <v>128</v>
      </c>
      <c r="E52" s="125" t="s">
        <v>146</v>
      </c>
      <c r="F52" s="127">
        <v>45299</v>
      </c>
      <c r="G52" s="127">
        <v>45327</v>
      </c>
      <c r="H52" s="125">
        <f t="shared" si="4"/>
        <v>28</v>
      </c>
      <c r="I52" s="125" t="str">
        <f t="shared" si="5"/>
        <v>In Progress</v>
      </c>
      <c r="J52" s="128">
        <v>0.75</v>
      </c>
      <c r="K52" s="125" t="s">
        <v>106</v>
      </c>
      <c r="L52" s="129">
        <v>4000</v>
      </c>
      <c r="M52" s="125">
        <v>120</v>
      </c>
      <c r="N52" s="129">
        <f t="shared" si="6"/>
        <v>112000</v>
      </c>
      <c r="O52" s="125" t="s">
        <v>108</v>
      </c>
      <c r="P52" s="125" t="str">
        <f t="shared" si="7"/>
        <v>In Progress</v>
      </c>
      <c r="Q52" s="125"/>
      <c r="R52" s="125"/>
    </row>
    <row r="53" spans="1:18" ht="15" customHeight="1" x14ac:dyDescent="0.25">
      <c r="A53" s="120">
        <v>50</v>
      </c>
      <c r="B53" s="121" t="s">
        <v>83</v>
      </c>
      <c r="C53" s="120" t="s">
        <v>67</v>
      </c>
      <c r="D53" s="120" t="s">
        <v>195</v>
      </c>
      <c r="E53" s="120" t="s">
        <v>129</v>
      </c>
      <c r="F53" s="122">
        <v>45371</v>
      </c>
      <c r="G53" s="122">
        <v>45378</v>
      </c>
      <c r="H53" s="120">
        <f t="shared" si="4"/>
        <v>7</v>
      </c>
      <c r="I53" s="120" t="str">
        <f t="shared" si="5"/>
        <v>In Progress</v>
      </c>
      <c r="J53" s="123">
        <v>0.25</v>
      </c>
      <c r="K53" s="120" t="s">
        <v>73</v>
      </c>
      <c r="L53" s="124">
        <v>5000</v>
      </c>
      <c r="M53" s="120">
        <v>0</v>
      </c>
      <c r="N53" s="124">
        <f t="shared" si="6"/>
        <v>35000</v>
      </c>
      <c r="O53" s="120" t="s">
        <v>175</v>
      </c>
      <c r="P53" s="120" t="str">
        <f t="shared" si="7"/>
        <v>In Progress</v>
      </c>
      <c r="Q53" s="120"/>
      <c r="R53" s="120"/>
    </row>
    <row r="54" spans="1:18" ht="15" customHeight="1" x14ac:dyDescent="0.25">
      <c r="A54" s="125">
        <v>51</v>
      </c>
      <c r="B54" s="126" t="s">
        <v>52</v>
      </c>
      <c r="C54" s="125" t="s">
        <v>77</v>
      </c>
      <c r="D54" s="125" t="s">
        <v>201</v>
      </c>
      <c r="E54" s="125" t="s">
        <v>103</v>
      </c>
      <c r="F54" s="127">
        <v>45318</v>
      </c>
      <c r="G54" s="127">
        <v>45328</v>
      </c>
      <c r="H54" s="125">
        <f t="shared" si="4"/>
        <v>10</v>
      </c>
      <c r="I54" s="125" t="str">
        <f t="shared" si="5"/>
        <v>Not Started</v>
      </c>
      <c r="J54" s="128">
        <v>0</v>
      </c>
      <c r="K54" s="125" t="s">
        <v>56</v>
      </c>
      <c r="L54" s="129">
        <v>4200</v>
      </c>
      <c r="M54" s="125">
        <v>60</v>
      </c>
      <c r="N54" s="129">
        <f t="shared" si="6"/>
        <v>42000</v>
      </c>
      <c r="O54" s="125" t="s">
        <v>175</v>
      </c>
      <c r="P54" s="125" t="str">
        <f t="shared" si="7"/>
        <v>Not Started</v>
      </c>
      <c r="Q54" s="125"/>
      <c r="R54" s="125"/>
    </row>
    <row r="55" spans="1:18" ht="15" customHeight="1" x14ac:dyDescent="0.25">
      <c r="A55" s="125">
        <v>52</v>
      </c>
      <c r="B55" s="126" t="s">
        <v>57</v>
      </c>
      <c r="C55" s="125" t="s">
        <v>86</v>
      </c>
      <c r="D55" s="125" t="s">
        <v>201</v>
      </c>
      <c r="E55" s="125" t="s">
        <v>191</v>
      </c>
      <c r="F55" s="127">
        <v>45407</v>
      </c>
      <c r="G55" s="127">
        <v>45419</v>
      </c>
      <c r="H55" s="125">
        <f t="shared" si="4"/>
        <v>12</v>
      </c>
      <c r="I55" s="125" t="str">
        <f t="shared" si="5"/>
        <v>In Progress</v>
      </c>
      <c r="J55" s="128">
        <v>0.25</v>
      </c>
      <c r="K55" s="125" t="s">
        <v>63</v>
      </c>
      <c r="L55" s="129">
        <v>5000</v>
      </c>
      <c r="M55" s="125">
        <v>100</v>
      </c>
      <c r="N55" s="129">
        <f t="shared" si="6"/>
        <v>60000</v>
      </c>
      <c r="O55" s="125" t="s">
        <v>108</v>
      </c>
      <c r="P55" s="125" t="str">
        <f t="shared" si="7"/>
        <v>In Progress</v>
      </c>
      <c r="Q55" s="125"/>
      <c r="R55" s="125"/>
    </row>
    <row r="56" spans="1:18" ht="15" customHeight="1" x14ac:dyDescent="0.25">
      <c r="A56" s="125">
        <v>53</v>
      </c>
      <c r="B56" s="126" t="s">
        <v>60</v>
      </c>
      <c r="C56" s="125" t="s">
        <v>55</v>
      </c>
      <c r="D56" s="125" t="s">
        <v>261</v>
      </c>
      <c r="E56" s="125" t="s">
        <v>230</v>
      </c>
      <c r="F56" s="127">
        <v>45378</v>
      </c>
      <c r="G56" s="127">
        <v>45399</v>
      </c>
      <c r="H56" s="125">
        <f t="shared" si="4"/>
        <v>21</v>
      </c>
      <c r="I56" s="125" t="str">
        <f t="shared" si="5"/>
        <v>In Progress</v>
      </c>
      <c r="J56" s="128">
        <v>1</v>
      </c>
      <c r="K56" s="125" t="s">
        <v>63</v>
      </c>
      <c r="L56" s="129">
        <v>5000</v>
      </c>
      <c r="M56" s="125">
        <v>168</v>
      </c>
      <c r="N56" s="129">
        <f t="shared" si="6"/>
        <v>105000</v>
      </c>
      <c r="O56" s="125" t="s">
        <v>108</v>
      </c>
      <c r="P56" s="125" t="str">
        <f t="shared" si="7"/>
        <v>In Progress</v>
      </c>
      <c r="Q56" s="125"/>
      <c r="R56" s="125"/>
    </row>
    <row r="57" spans="1:18" ht="15" customHeight="1" x14ac:dyDescent="0.25">
      <c r="A57" s="115">
        <v>54</v>
      </c>
      <c r="B57" s="116" t="s">
        <v>64</v>
      </c>
      <c r="C57" s="115" t="s">
        <v>67</v>
      </c>
      <c r="D57" s="115" t="s">
        <v>237</v>
      </c>
      <c r="E57" s="115" t="s">
        <v>146</v>
      </c>
      <c r="F57" s="117">
        <v>45298</v>
      </c>
      <c r="G57" s="117">
        <v>45308</v>
      </c>
      <c r="H57" s="115">
        <f t="shared" si="4"/>
        <v>10</v>
      </c>
      <c r="I57" s="115" t="str">
        <f t="shared" si="5"/>
        <v>In Progress</v>
      </c>
      <c r="J57" s="118">
        <v>0.65</v>
      </c>
      <c r="K57" s="115" t="s">
        <v>56</v>
      </c>
      <c r="L57" s="119">
        <v>3000</v>
      </c>
      <c r="M57" s="115">
        <v>168</v>
      </c>
      <c r="N57" s="119">
        <f t="shared" si="6"/>
        <v>30000</v>
      </c>
      <c r="O57" s="115" t="s">
        <v>194</v>
      </c>
      <c r="P57" s="115" t="str">
        <f t="shared" si="7"/>
        <v>In Progress</v>
      </c>
      <c r="Q57" s="115"/>
      <c r="R57" s="115"/>
    </row>
    <row r="58" spans="1:18" ht="15" customHeight="1" x14ac:dyDescent="0.25">
      <c r="A58" s="125">
        <v>55</v>
      </c>
      <c r="B58" s="126" t="s">
        <v>68</v>
      </c>
      <c r="C58" s="125" t="s">
        <v>77</v>
      </c>
      <c r="D58" s="125" t="s">
        <v>145</v>
      </c>
      <c r="E58" s="125" t="s">
        <v>129</v>
      </c>
      <c r="F58" s="127">
        <v>45331</v>
      </c>
      <c r="G58" s="127">
        <v>45352</v>
      </c>
      <c r="H58" s="125">
        <f t="shared" si="4"/>
        <v>21</v>
      </c>
      <c r="I58" s="125" t="str">
        <f t="shared" si="5"/>
        <v>In Progress</v>
      </c>
      <c r="J58" s="128">
        <v>0.65</v>
      </c>
      <c r="K58" s="125" t="s">
        <v>73</v>
      </c>
      <c r="L58" s="129">
        <v>4200</v>
      </c>
      <c r="M58" s="125">
        <v>100</v>
      </c>
      <c r="N58" s="129">
        <f t="shared" si="6"/>
        <v>88200</v>
      </c>
      <c r="O58" s="125" t="s">
        <v>175</v>
      </c>
      <c r="P58" s="125" t="str">
        <f t="shared" si="7"/>
        <v>In Progress</v>
      </c>
      <c r="Q58" s="125"/>
      <c r="R58" s="125"/>
    </row>
    <row r="59" spans="1:18" ht="15" customHeight="1" x14ac:dyDescent="0.25">
      <c r="A59" s="125">
        <v>56</v>
      </c>
      <c r="B59" s="126" t="s">
        <v>70</v>
      </c>
      <c r="C59" s="125" t="s">
        <v>86</v>
      </c>
      <c r="D59" s="125" t="s">
        <v>302</v>
      </c>
      <c r="E59" s="125" t="s">
        <v>103</v>
      </c>
      <c r="F59" s="127">
        <v>45327</v>
      </c>
      <c r="G59" s="127">
        <v>45334</v>
      </c>
      <c r="H59" s="125">
        <f t="shared" si="4"/>
        <v>7</v>
      </c>
      <c r="I59" s="125" t="str">
        <f t="shared" si="5"/>
        <v>Not Started</v>
      </c>
      <c r="J59" s="128">
        <v>0</v>
      </c>
      <c r="K59" s="125" t="s">
        <v>56</v>
      </c>
      <c r="L59" s="129">
        <v>2000</v>
      </c>
      <c r="M59" s="125">
        <v>168</v>
      </c>
      <c r="N59" s="129">
        <f t="shared" si="6"/>
        <v>14000</v>
      </c>
      <c r="O59" s="125" t="s">
        <v>175</v>
      </c>
      <c r="P59" s="125" t="str">
        <f t="shared" si="7"/>
        <v>Not Started</v>
      </c>
      <c r="Q59" s="125"/>
      <c r="R59" s="125"/>
    </row>
    <row r="60" spans="1:18" ht="15" customHeight="1" x14ac:dyDescent="0.25">
      <c r="A60" s="115">
        <v>57</v>
      </c>
      <c r="B60" s="116" t="s">
        <v>74</v>
      </c>
      <c r="C60" s="115" t="s">
        <v>55</v>
      </c>
      <c r="D60" s="115" t="s">
        <v>302</v>
      </c>
      <c r="E60" s="115" t="s">
        <v>191</v>
      </c>
      <c r="F60" s="117">
        <v>45329</v>
      </c>
      <c r="G60" s="117">
        <v>45350</v>
      </c>
      <c r="H60" s="115">
        <f t="shared" si="4"/>
        <v>21</v>
      </c>
      <c r="I60" s="115" t="str">
        <f t="shared" si="5"/>
        <v>In Progress</v>
      </c>
      <c r="J60" s="118">
        <v>1</v>
      </c>
      <c r="K60" s="115" t="s">
        <v>106</v>
      </c>
      <c r="L60" s="119">
        <v>2000</v>
      </c>
      <c r="M60" s="115">
        <v>168</v>
      </c>
      <c r="N60" s="119">
        <f t="shared" si="6"/>
        <v>42000</v>
      </c>
      <c r="O60" s="115" t="s">
        <v>108</v>
      </c>
      <c r="P60" s="115" t="str">
        <f t="shared" si="7"/>
        <v>In Progress</v>
      </c>
      <c r="Q60" s="115"/>
      <c r="R60" s="115"/>
    </row>
    <row r="61" spans="1:18" ht="15" customHeight="1" x14ac:dyDescent="0.25">
      <c r="A61" s="125">
        <v>58</v>
      </c>
      <c r="B61" s="126" t="s">
        <v>78</v>
      </c>
      <c r="C61" s="125" t="s">
        <v>67</v>
      </c>
      <c r="D61" s="125" t="s">
        <v>154</v>
      </c>
      <c r="E61" s="125" t="s">
        <v>230</v>
      </c>
      <c r="F61" s="127">
        <v>45384</v>
      </c>
      <c r="G61" s="127">
        <v>45412</v>
      </c>
      <c r="H61" s="125">
        <f t="shared" si="4"/>
        <v>28</v>
      </c>
      <c r="I61" s="125" t="str">
        <f t="shared" si="5"/>
        <v>In Progress</v>
      </c>
      <c r="J61" s="128">
        <v>1</v>
      </c>
      <c r="K61" s="125" t="s">
        <v>56</v>
      </c>
      <c r="L61" s="129">
        <v>2000</v>
      </c>
      <c r="M61" s="125">
        <v>120</v>
      </c>
      <c r="N61" s="129">
        <f t="shared" si="6"/>
        <v>56000</v>
      </c>
      <c r="O61" s="125" t="s">
        <v>108</v>
      </c>
      <c r="P61" s="125" t="str">
        <f t="shared" si="7"/>
        <v>In Progress</v>
      </c>
      <c r="Q61" s="125"/>
      <c r="R61" s="125"/>
    </row>
    <row r="62" spans="1:18" ht="15" customHeight="1" x14ac:dyDescent="0.25">
      <c r="A62" s="120">
        <v>59</v>
      </c>
      <c r="B62" s="121" t="s">
        <v>80</v>
      </c>
      <c r="C62" s="120" t="s">
        <v>77</v>
      </c>
      <c r="D62" s="120" t="s">
        <v>176</v>
      </c>
      <c r="E62" s="120" t="s">
        <v>146</v>
      </c>
      <c r="F62" s="122">
        <v>45316</v>
      </c>
      <c r="G62" s="122">
        <v>45328</v>
      </c>
      <c r="H62" s="120">
        <f t="shared" si="4"/>
        <v>12</v>
      </c>
      <c r="I62" s="120" t="str">
        <f t="shared" si="5"/>
        <v>In Progress</v>
      </c>
      <c r="J62" s="123">
        <v>0.5</v>
      </c>
      <c r="K62" s="120" t="s">
        <v>56</v>
      </c>
      <c r="L62" s="124">
        <v>5500</v>
      </c>
      <c r="M62" s="120">
        <v>168</v>
      </c>
      <c r="N62" s="124">
        <f t="shared" si="6"/>
        <v>66000</v>
      </c>
      <c r="O62" s="120" t="s">
        <v>108</v>
      </c>
      <c r="P62" s="120" t="str">
        <f t="shared" si="7"/>
        <v>In Progress</v>
      </c>
      <c r="Q62" s="120"/>
      <c r="R62" s="120"/>
    </row>
    <row r="63" spans="1:18" ht="15" customHeight="1" x14ac:dyDescent="0.25">
      <c r="A63" s="120">
        <v>60</v>
      </c>
      <c r="B63" s="121" t="s">
        <v>83</v>
      </c>
      <c r="C63" s="120" t="s">
        <v>86</v>
      </c>
      <c r="D63" s="120" t="s">
        <v>164</v>
      </c>
      <c r="E63" s="120" t="s">
        <v>129</v>
      </c>
      <c r="F63" s="122">
        <v>45299</v>
      </c>
      <c r="G63" s="122">
        <v>45311</v>
      </c>
      <c r="H63" s="120">
        <f t="shared" si="4"/>
        <v>12</v>
      </c>
      <c r="I63" s="120" t="str">
        <f t="shared" si="5"/>
        <v>In Progress</v>
      </c>
      <c r="J63" s="123">
        <v>0.75</v>
      </c>
      <c r="K63" s="120" t="s">
        <v>73</v>
      </c>
      <c r="L63" s="124">
        <v>3500</v>
      </c>
      <c r="M63" s="120">
        <v>140</v>
      </c>
      <c r="N63" s="124">
        <f t="shared" si="6"/>
        <v>42000</v>
      </c>
      <c r="O63" s="120" t="s">
        <v>175</v>
      </c>
      <c r="P63" s="120" t="str">
        <f t="shared" si="7"/>
        <v>In Progress</v>
      </c>
      <c r="Q63" s="120"/>
      <c r="R63" s="120"/>
    </row>
    <row r="64" spans="1:18" ht="15" customHeight="1" x14ac:dyDescent="0.25">
      <c r="A64" s="115">
        <v>61</v>
      </c>
      <c r="B64" s="116" t="s">
        <v>52</v>
      </c>
      <c r="C64" s="115" t="s">
        <v>55</v>
      </c>
      <c r="D64" s="115" t="s">
        <v>116</v>
      </c>
      <c r="E64" s="115" t="s">
        <v>103</v>
      </c>
      <c r="F64" s="117">
        <v>45363</v>
      </c>
      <c r="G64" s="117">
        <v>45375</v>
      </c>
      <c r="H64" s="115">
        <f t="shared" si="4"/>
        <v>12</v>
      </c>
      <c r="I64" s="115" t="str">
        <f t="shared" si="5"/>
        <v>In Progress</v>
      </c>
      <c r="J64" s="118">
        <v>0.75</v>
      </c>
      <c r="K64" s="115" t="s">
        <v>63</v>
      </c>
      <c r="L64" s="119">
        <v>2000</v>
      </c>
      <c r="M64" s="115">
        <v>0</v>
      </c>
      <c r="N64" s="119">
        <f t="shared" si="6"/>
        <v>24000</v>
      </c>
      <c r="O64" s="115" t="s">
        <v>108</v>
      </c>
      <c r="P64" s="115" t="str">
        <f t="shared" si="7"/>
        <v>In Progress</v>
      </c>
      <c r="Q64" s="115"/>
      <c r="R64" s="115"/>
    </row>
    <row r="65" spans="1:18" ht="15" customHeight="1" x14ac:dyDescent="0.25">
      <c r="A65" s="125">
        <v>62</v>
      </c>
      <c r="B65" s="126" t="s">
        <v>57</v>
      </c>
      <c r="C65" s="125" t="s">
        <v>67</v>
      </c>
      <c r="D65" s="125" t="s">
        <v>102</v>
      </c>
      <c r="E65" s="125" t="s">
        <v>191</v>
      </c>
      <c r="F65" s="127">
        <v>45379</v>
      </c>
      <c r="G65" s="127">
        <v>45393</v>
      </c>
      <c r="H65" s="125">
        <f t="shared" si="4"/>
        <v>14</v>
      </c>
      <c r="I65" s="125" t="str">
        <f t="shared" si="5"/>
        <v>In Progress</v>
      </c>
      <c r="J65" s="128">
        <v>0.75</v>
      </c>
      <c r="K65" s="125" t="s">
        <v>56</v>
      </c>
      <c r="L65" s="129">
        <v>4200</v>
      </c>
      <c r="M65" s="125">
        <v>168</v>
      </c>
      <c r="N65" s="129">
        <f t="shared" si="6"/>
        <v>58800</v>
      </c>
      <c r="O65" s="125" t="s">
        <v>139</v>
      </c>
      <c r="P65" s="125" t="str">
        <f t="shared" si="7"/>
        <v>In Progress</v>
      </c>
      <c r="Q65" s="125"/>
      <c r="R65" s="125"/>
    </row>
    <row r="66" spans="1:18" ht="15" customHeight="1" x14ac:dyDescent="0.25">
      <c r="A66" s="115">
        <v>63</v>
      </c>
      <c r="B66" s="116" t="s">
        <v>60</v>
      </c>
      <c r="C66" s="115" t="s">
        <v>77</v>
      </c>
      <c r="D66" s="115" t="s">
        <v>195</v>
      </c>
      <c r="E66" s="115" t="s">
        <v>230</v>
      </c>
      <c r="F66" s="117">
        <v>45434</v>
      </c>
      <c r="G66" s="117">
        <v>45462</v>
      </c>
      <c r="H66" s="115">
        <f t="shared" si="4"/>
        <v>28</v>
      </c>
      <c r="I66" s="115" t="str">
        <f t="shared" si="5"/>
        <v>Not Started</v>
      </c>
      <c r="J66" s="118">
        <v>0</v>
      </c>
      <c r="K66" s="115" t="s">
        <v>63</v>
      </c>
      <c r="L66" s="119">
        <v>4000</v>
      </c>
      <c r="M66" s="115">
        <v>0</v>
      </c>
      <c r="N66" s="119">
        <f t="shared" si="6"/>
        <v>112000</v>
      </c>
      <c r="O66" s="115" t="s">
        <v>108</v>
      </c>
      <c r="P66" s="115" t="str">
        <f t="shared" si="7"/>
        <v>Not Started</v>
      </c>
      <c r="Q66" s="115"/>
      <c r="R66" s="115"/>
    </row>
    <row r="67" spans="1:18" ht="15" customHeight="1" x14ac:dyDescent="0.25">
      <c r="A67" s="120">
        <v>64</v>
      </c>
      <c r="B67" s="121" t="s">
        <v>64</v>
      </c>
      <c r="C67" s="120" t="s">
        <v>86</v>
      </c>
      <c r="D67" s="120" t="s">
        <v>195</v>
      </c>
      <c r="E67" s="120" t="s">
        <v>146</v>
      </c>
      <c r="F67" s="122">
        <v>45387</v>
      </c>
      <c r="G67" s="122">
        <v>45408</v>
      </c>
      <c r="H67" s="120">
        <f t="shared" si="4"/>
        <v>21</v>
      </c>
      <c r="I67" s="120" t="str">
        <f t="shared" si="5"/>
        <v>Not Started</v>
      </c>
      <c r="J67" s="123">
        <v>0</v>
      </c>
      <c r="K67" s="120" t="s">
        <v>56</v>
      </c>
      <c r="L67" s="124">
        <v>2000</v>
      </c>
      <c r="M67" s="120">
        <v>120</v>
      </c>
      <c r="N67" s="124">
        <f t="shared" si="6"/>
        <v>42000</v>
      </c>
      <c r="O67" s="120" t="s">
        <v>175</v>
      </c>
      <c r="P67" s="120" t="str">
        <f t="shared" si="7"/>
        <v>Not Started</v>
      </c>
      <c r="Q67" s="120"/>
      <c r="R67" s="120"/>
    </row>
    <row r="68" spans="1:18" ht="15" customHeight="1" x14ac:dyDescent="0.25">
      <c r="A68" s="120">
        <v>65</v>
      </c>
      <c r="B68" s="121" t="s">
        <v>68</v>
      </c>
      <c r="C68" s="120" t="s">
        <v>55</v>
      </c>
      <c r="D68" s="120" t="s">
        <v>195</v>
      </c>
      <c r="E68" s="120" t="s">
        <v>129</v>
      </c>
      <c r="F68" s="122">
        <v>45392</v>
      </c>
      <c r="G68" s="122">
        <v>45404</v>
      </c>
      <c r="H68" s="120">
        <f t="shared" ref="H68:H99" si="8">IF(OR(F68="",G68=""),"",G68-F68)</f>
        <v>12</v>
      </c>
      <c r="I68" s="120" t="str">
        <f t="shared" ref="I68:I99" si="9">IFERROR(IF(VALUE(SUBSTITUTE(SUBSTITUTE(J68,"%","")," ",""))&lt;=0,"Not Started",IF(VALUE(SUBSTITUTE(SUBSTITUTE(J68,"%","")," ",""))&gt;=100,"Completed","In Progress")),"Not Started")</f>
        <v>In Progress</v>
      </c>
      <c r="J68" s="123">
        <v>0.75</v>
      </c>
      <c r="K68" s="120" t="s">
        <v>73</v>
      </c>
      <c r="L68" s="124">
        <v>4000</v>
      </c>
      <c r="M68" s="120">
        <v>60</v>
      </c>
      <c r="N68" s="124">
        <f t="shared" ref="N68:N99" si="10">IF(OR(L68="",H68=""),"",L68*H68)</f>
        <v>48000</v>
      </c>
      <c r="O68" s="120" t="s">
        <v>108</v>
      </c>
      <c r="P68" s="120" t="str">
        <f t="shared" ref="P68:P99" si="11">IFERROR(IF(VALUE(SUBSTITUTE(SUBSTITUTE(J68,"%","")," ",""))&gt;=100,"Completed",IF(VALUE(SUBSTITUTE(SUBSTITUTE(J68,"%","")," ",""))&lt;=0,"Not Started","In Progress")),"Not Started")</f>
        <v>In Progress</v>
      </c>
      <c r="Q68" s="120"/>
      <c r="R68" s="120"/>
    </row>
    <row r="69" spans="1:18" ht="15" customHeight="1" x14ac:dyDescent="0.25">
      <c r="A69" s="115">
        <v>66</v>
      </c>
      <c r="B69" s="116" t="s">
        <v>70</v>
      </c>
      <c r="C69" s="115" t="s">
        <v>67</v>
      </c>
      <c r="D69" s="115" t="s">
        <v>128</v>
      </c>
      <c r="E69" s="115" t="s">
        <v>103</v>
      </c>
      <c r="F69" s="117">
        <v>45294</v>
      </c>
      <c r="G69" s="117">
        <v>45315</v>
      </c>
      <c r="H69" s="115">
        <f t="shared" si="8"/>
        <v>21</v>
      </c>
      <c r="I69" s="115" t="str">
        <f t="shared" si="9"/>
        <v>Not Started</v>
      </c>
      <c r="J69" s="118">
        <v>0</v>
      </c>
      <c r="K69" s="115" t="s">
        <v>56</v>
      </c>
      <c r="L69" s="119">
        <v>5500</v>
      </c>
      <c r="M69" s="115">
        <v>0</v>
      </c>
      <c r="N69" s="119">
        <f t="shared" si="10"/>
        <v>115500</v>
      </c>
      <c r="O69" s="115" t="s">
        <v>139</v>
      </c>
      <c r="P69" s="115" t="str">
        <f t="shared" si="11"/>
        <v>Not Started</v>
      </c>
      <c r="Q69" s="115"/>
      <c r="R69" s="115"/>
    </row>
    <row r="70" spans="1:18" ht="15" customHeight="1" x14ac:dyDescent="0.25">
      <c r="A70" s="120">
        <v>67</v>
      </c>
      <c r="B70" s="121" t="s">
        <v>74</v>
      </c>
      <c r="C70" s="120" t="s">
        <v>77</v>
      </c>
      <c r="D70" s="120" t="s">
        <v>261</v>
      </c>
      <c r="E70" s="120" t="s">
        <v>191</v>
      </c>
      <c r="F70" s="122">
        <v>45361</v>
      </c>
      <c r="G70" s="122">
        <v>45371</v>
      </c>
      <c r="H70" s="120">
        <f t="shared" si="8"/>
        <v>10</v>
      </c>
      <c r="I70" s="120" t="str">
        <f t="shared" si="9"/>
        <v>In Progress</v>
      </c>
      <c r="J70" s="123">
        <v>0.4</v>
      </c>
      <c r="K70" s="120" t="s">
        <v>63</v>
      </c>
      <c r="L70" s="124">
        <v>3000</v>
      </c>
      <c r="M70" s="120">
        <v>160</v>
      </c>
      <c r="N70" s="124">
        <f t="shared" si="10"/>
        <v>30000</v>
      </c>
      <c r="O70" s="120" t="s">
        <v>108</v>
      </c>
      <c r="P70" s="120" t="str">
        <f t="shared" si="11"/>
        <v>In Progress</v>
      </c>
      <c r="Q70" s="120"/>
      <c r="R70" s="120"/>
    </row>
    <row r="71" spans="1:18" ht="15" customHeight="1" x14ac:dyDescent="0.25">
      <c r="A71" s="120">
        <v>68</v>
      </c>
      <c r="B71" s="121" t="s">
        <v>78</v>
      </c>
      <c r="C71" s="120" t="s">
        <v>86</v>
      </c>
      <c r="D71" s="120" t="s">
        <v>72</v>
      </c>
      <c r="E71" s="120" t="s">
        <v>230</v>
      </c>
      <c r="F71" s="122">
        <v>45326</v>
      </c>
      <c r="G71" s="122">
        <v>45340</v>
      </c>
      <c r="H71" s="120">
        <f t="shared" si="8"/>
        <v>14</v>
      </c>
      <c r="I71" s="120" t="str">
        <f t="shared" si="9"/>
        <v>In Progress</v>
      </c>
      <c r="J71" s="123">
        <v>0.25</v>
      </c>
      <c r="K71" s="120" t="s">
        <v>106</v>
      </c>
      <c r="L71" s="124">
        <v>2000</v>
      </c>
      <c r="M71" s="120">
        <v>80</v>
      </c>
      <c r="N71" s="124">
        <f t="shared" si="10"/>
        <v>28000</v>
      </c>
      <c r="O71" s="120" t="s">
        <v>108</v>
      </c>
      <c r="P71" s="120" t="str">
        <f t="shared" si="11"/>
        <v>In Progress</v>
      </c>
      <c r="Q71" s="120"/>
      <c r="R71" s="120"/>
    </row>
    <row r="72" spans="1:18" ht="15" customHeight="1" x14ac:dyDescent="0.25">
      <c r="A72" s="125">
        <v>69</v>
      </c>
      <c r="B72" s="126" t="s">
        <v>80</v>
      </c>
      <c r="C72" s="125" t="s">
        <v>55</v>
      </c>
      <c r="D72" s="125" t="s">
        <v>140</v>
      </c>
      <c r="E72" s="125" t="s">
        <v>146</v>
      </c>
      <c r="F72" s="127">
        <v>45346</v>
      </c>
      <c r="G72" s="127">
        <v>45367</v>
      </c>
      <c r="H72" s="125">
        <f t="shared" si="8"/>
        <v>21</v>
      </c>
      <c r="I72" s="125" t="str">
        <f t="shared" si="9"/>
        <v>In Progress</v>
      </c>
      <c r="J72" s="128">
        <v>0.25</v>
      </c>
      <c r="K72" s="125" t="s">
        <v>63</v>
      </c>
      <c r="L72" s="129">
        <v>4000</v>
      </c>
      <c r="M72" s="125">
        <v>80</v>
      </c>
      <c r="N72" s="129">
        <f t="shared" si="10"/>
        <v>84000</v>
      </c>
      <c r="O72" s="125" t="s">
        <v>169</v>
      </c>
      <c r="P72" s="125" t="str">
        <f t="shared" si="11"/>
        <v>In Progress</v>
      </c>
      <c r="Q72" s="125"/>
      <c r="R72" s="125"/>
    </row>
    <row r="73" spans="1:18" ht="15" customHeight="1" x14ac:dyDescent="0.25">
      <c r="A73" s="125">
        <v>70</v>
      </c>
      <c r="B73" s="126" t="s">
        <v>83</v>
      </c>
      <c r="C73" s="125" t="s">
        <v>67</v>
      </c>
      <c r="D73" s="125" t="s">
        <v>237</v>
      </c>
      <c r="E73" s="125" t="s">
        <v>129</v>
      </c>
      <c r="F73" s="127">
        <v>45381</v>
      </c>
      <c r="G73" s="127">
        <v>45391</v>
      </c>
      <c r="H73" s="125">
        <f t="shared" si="8"/>
        <v>10</v>
      </c>
      <c r="I73" s="125" t="str">
        <f t="shared" si="9"/>
        <v>In Progress</v>
      </c>
      <c r="J73" s="128">
        <v>0.5</v>
      </c>
      <c r="K73" s="125" t="s">
        <v>63</v>
      </c>
      <c r="L73" s="129">
        <v>2000</v>
      </c>
      <c r="M73" s="125">
        <v>60</v>
      </c>
      <c r="N73" s="129">
        <f t="shared" si="10"/>
        <v>20000</v>
      </c>
      <c r="O73" s="125" t="s">
        <v>108</v>
      </c>
      <c r="P73" s="125" t="str">
        <f t="shared" si="11"/>
        <v>In Progress</v>
      </c>
      <c r="Q73" s="125"/>
      <c r="R73" s="125"/>
    </row>
    <row r="74" spans="1:18" ht="15" customHeight="1" x14ac:dyDescent="0.25">
      <c r="A74" s="120">
        <v>71</v>
      </c>
      <c r="B74" s="121" t="s">
        <v>52</v>
      </c>
      <c r="C74" s="120" t="s">
        <v>77</v>
      </c>
      <c r="D74" s="120" t="s">
        <v>145</v>
      </c>
      <c r="E74" s="120" t="s">
        <v>103</v>
      </c>
      <c r="F74" s="122">
        <v>45424</v>
      </c>
      <c r="G74" s="122">
        <v>45438</v>
      </c>
      <c r="H74" s="120">
        <f t="shared" si="8"/>
        <v>14</v>
      </c>
      <c r="I74" s="120" t="str">
        <f t="shared" si="9"/>
        <v>Not Started</v>
      </c>
      <c r="J74" s="123">
        <v>0</v>
      </c>
      <c r="K74" s="120" t="s">
        <v>56</v>
      </c>
      <c r="L74" s="124">
        <v>4200</v>
      </c>
      <c r="M74" s="120">
        <v>140</v>
      </c>
      <c r="N74" s="124">
        <f t="shared" si="10"/>
        <v>58800</v>
      </c>
      <c r="O74" s="120" t="s">
        <v>108</v>
      </c>
      <c r="P74" s="120" t="str">
        <f t="shared" si="11"/>
        <v>Not Started</v>
      </c>
      <c r="Q74" s="120"/>
      <c r="R74" s="120"/>
    </row>
    <row r="75" spans="1:18" ht="15" customHeight="1" x14ac:dyDescent="0.25">
      <c r="A75" s="125">
        <v>72</v>
      </c>
      <c r="B75" s="126" t="s">
        <v>57</v>
      </c>
      <c r="C75" s="125" t="s">
        <v>86</v>
      </c>
      <c r="D75" s="125" t="s">
        <v>145</v>
      </c>
      <c r="E75" s="125" t="s">
        <v>191</v>
      </c>
      <c r="F75" s="127">
        <v>45307</v>
      </c>
      <c r="G75" s="127">
        <v>45314</v>
      </c>
      <c r="H75" s="125">
        <f t="shared" si="8"/>
        <v>7</v>
      </c>
      <c r="I75" s="125" t="str">
        <f t="shared" si="9"/>
        <v>In Progress</v>
      </c>
      <c r="J75" s="128">
        <v>0.5</v>
      </c>
      <c r="K75" s="125" t="s">
        <v>63</v>
      </c>
      <c r="L75" s="129">
        <v>2000</v>
      </c>
      <c r="M75" s="125">
        <v>160</v>
      </c>
      <c r="N75" s="129">
        <f t="shared" si="10"/>
        <v>14000</v>
      </c>
      <c r="O75" s="125" t="s">
        <v>194</v>
      </c>
      <c r="P75" s="125" t="str">
        <f t="shared" si="11"/>
        <v>In Progress</v>
      </c>
      <c r="Q75" s="125"/>
      <c r="R75" s="125"/>
    </row>
    <row r="76" spans="1:18" ht="15" customHeight="1" x14ac:dyDescent="0.25">
      <c r="A76" s="125">
        <v>73</v>
      </c>
      <c r="B76" s="126" t="s">
        <v>60</v>
      </c>
      <c r="C76" s="125" t="s">
        <v>55</v>
      </c>
      <c r="D76" s="125" t="s">
        <v>154</v>
      </c>
      <c r="E76" s="125" t="s">
        <v>230</v>
      </c>
      <c r="F76" s="127">
        <v>45294</v>
      </c>
      <c r="G76" s="127">
        <v>45315</v>
      </c>
      <c r="H76" s="125">
        <f t="shared" si="8"/>
        <v>21</v>
      </c>
      <c r="I76" s="125" t="str">
        <f t="shared" si="9"/>
        <v>In Progress</v>
      </c>
      <c r="J76" s="128">
        <v>0.25</v>
      </c>
      <c r="K76" s="125" t="s">
        <v>63</v>
      </c>
      <c r="L76" s="129">
        <v>2000</v>
      </c>
      <c r="M76" s="125">
        <v>80</v>
      </c>
      <c r="N76" s="129">
        <f t="shared" si="10"/>
        <v>42000</v>
      </c>
      <c r="O76" s="125" t="s">
        <v>186</v>
      </c>
      <c r="P76" s="125" t="str">
        <f t="shared" si="11"/>
        <v>In Progress</v>
      </c>
      <c r="Q76" s="125"/>
      <c r="R76" s="125"/>
    </row>
    <row r="77" spans="1:18" ht="15" customHeight="1" x14ac:dyDescent="0.25">
      <c r="A77" s="120">
        <v>74</v>
      </c>
      <c r="B77" s="121" t="s">
        <v>64</v>
      </c>
      <c r="C77" s="120" t="s">
        <v>67</v>
      </c>
      <c r="D77" s="120" t="s">
        <v>154</v>
      </c>
      <c r="E77" s="120" t="s">
        <v>146</v>
      </c>
      <c r="F77" s="122">
        <v>45357</v>
      </c>
      <c r="G77" s="122">
        <v>45369</v>
      </c>
      <c r="H77" s="120">
        <f t="shared" si="8"/>
        <v>12</v>
      </c>
      <c r="I77" s="120" t="str">
        <f t="shared" si="9"/>
        <v>In Progress</v>
      </c>
      <c r="J77" s="123">
        <v>0.4</v>
      </c>
      <c r="K77" s="120" t="s">
        <v>106</v>
      </c>
      <c r="L77" s="124">
        <v>3500</v>
      </c>
      <c r="M77" s="120">
        <v>80</v>
      </c>
      <c r="N77" s="124">
        <f t="shared" si="10"/>
        <v>42000</v>
      </c>
      <c r="O77" s="120" t="s">
        <v>108</v>
      </c>
      <c r="P77" s="120" t="str">
        <f t="shared" si="11"/>
        <v>In Progress</v>
      </c>
      <c r="Q77" s="120"/>
      <c r="R77" s="120"/>
    </row>
    <row r="78" spans="1:18" ht="15" customHeight="1" x14ac:dyDescent="0.25">
      <c r="A78" s="115">
        <v>75</v>
      </c>
      <c r="B78" s="116" t="s">
        <v>68</v>
      </c>
      <c r="C78" s="115" t="s">
        <v>77</v>
      </c>
      <c r="D78" s="115" t="s">
        <v>187</v>
      </c>
      <c r="E78" s="115" t="s">
        <v>129</v>
      </c>
      <c r="F78" s="117">
        <v>45321</v>
      </c>
      <c r="G78" s="117">
        <v>45331</v>
      </c>
      <c r="H78" s="115">
        <f t="shared" si="8"/>
        <v>10</v>
      </c>
      <c r="I78" s="115" t="str">
        <f t="shared" si="9"/>
        <v>Not Started</v>
      </c>
      <c r="J78" s="118">
        <v>0</v>
      </c>
      <c r="K78" s="115" t="s">
        <v>73</v>
      </c>
      <c r="L78" s="119">
        <v>2000</v>
      </c>
      <c r="M78" s="115">
        <v>60</v>
      </c>
      <c r="N78" s="119">
        <f t="shared" si="10"/>
        <v>20000</v>
      </c>
      <c r="O78" s="115" t="s">
        <v>108</v>
      </c>
      <c r="P78" s="115" t="str">
        <f t="shared" si="11"/>
        <v>Not Started</v>
      </c>
      <c r="Q78" s="115"/>
      <c r="R78" s="115"/>
    </row>
    <row r="79" spans="1:18" ht="15" customHeight="1" x14ac:dyDescent="0.25">
      <c r="A79" s="115">
        <v>76</v>
      </c>
      <c r="B79" s="116" t="s">
        <v>70</v>
      </c>
      <c r="C79" s="115" t="s">
        <v>86</v>
      </c>
      <c r="D79" s="115" t="s">
        <v>176</v>
      </c>
      <c r="E79" s="115" t="s">
        <v>103</v>
      </c>
      <c r="F79" s="117">
        <v>45431</v>
      </c>
      <c r="G79" s="117">
        <v>45445</v>
      </c>
      <c r="H79" s="115">
        <f t="shared" si="8"/>
        <v>14</v>
      </c>
      <c r="I79" s="115" t="str">
        <f t="shared" si="9"/>
        <v>In Progress</v>
      </c>
      <c r="J79" s="118">
        <v>0.4</v>
      </c>
      <c r="K79" s="115" t="s">
        <v>63</v>
      </c>
      <c r="L79" s="119">
        <v>5000</v>
      </c>
      <c r="M79" s="115">
        <v>0</v>
      </c>
      <c r="N79" s="119">
        <f t="shared" si="10"/>
        <v>70000</v>
      </c>
      <c r="O79" s="115" t="s">
        <v>108</v>
      </c>
      <c r="P79" s="115" t="str">
        <f t="shared" si="11"/>
        <v>In Progress</v>
      </c>
      <c r="Q79" s="115"/>
      <c r="R79" s="115"/>
    </row>
    <row r="80" spans="1:18" ht="15" customHeight="1" x14ac:dyDescent="0.25">
      <c r="A80" s="125">
        <v>77</v>
      </c>
      <c r="B80" s="126" t="s">
        <v>74</v>
      </c>
      <c r="C80" s="125" t="s">
        <v>55</v>
      </c>
      <c r="D80" s="125" t="s">
        <v>187</v>
      </c>
      <c r="E80" s="125" t="s">
        <v>191</v>
      </c>
      <c r="F80" s="127">
        <v>45426</v>
      </c>
      <c r="G80" s="127">
        <v>45433</v>
      </c>
      <c r="H80" s="125">
        <f t="shared" si="8"/>
        <v>7</v>
      </c>
      <c r="I80" s="125" t="str">
        <f t="shared" si="9"/>
        <v>In Progress</v>
      </c>
      <c r="J80" s="128">
        <v>0.25</v>
      </c>
      <c r="K80" s="125" t="s">
        <v>63</v>
      </c>
      <c r="L80" s="129">
        <v>3000</v>
      </c>
      <c r="M80" s="125">
        <v>100</v>
      </c>
      <c r="N80" s="129">
        <f t="shared" si="10"/>
        <v>21000</v>
      </c>
      <c r="O80" s="125" t="s">
        <v>108</v>
      </c>
      <c r="P80" s="125" t="str">
        <f t="shared" si="11"/>
        <v>In Progress</v>
      </c>
      <c r="Q80" s="125"/>
      <c r="R80" s="125"/>
    </row>
    <row r="81" spans="1:18" ht="15" customHeight="1" x14ac:dyDescent="0.25">
      <c r="A81" s="115">
        <v>78</v>
      </c>
      <c r="B81" s="116" t="s">
        <v>78</v>
      </c>
      <c r="C81" s="115" t="s">
        <v>67</v>
      </c>
      <c r="D81" s="115" t="s">
        <v>195</v>
      </c>
      <c r="E81" s="115" t="s">
        <v>230</v>
      </c>
      <c r="F81" s="117">
        <v>45346</v>
      </c>
      <c r="G81" s="117">
        <v>45367</v>
      </c>
      <c r="H81" s="115">
        <f t="shared" si="8"/>
        <v>21</v>
      </c>
      <c r="I81" s="115" t="str">
        <f t="shared" si="9"/>
        <v>In Progress</v>
      </c>
      <c r="J81" s="118">
        <v>1</v>
      </c>
      <c r="K81" s="115" t="s">
        <v>63</v>
      </c>
      <c r="L81" s="119">
        <v>3500</v>
      </c>
      <c r="M81" s="115">
        <v>120</v>
      </c>
      <c r="N81" s="119">
        <f t="shared" si="10"/>
        <v>73500</v>
      </c>
      <c r="O81" s="115" t="s">
        <v>186</v>
      </c>
      <c r="P81" s="115" t="str">
        <f t="shared" si="11"/>
        <v>In Progress</v>
      </c>
      <c r="Q81" s="115"/>
      <c r="R81" s="115"/>
    </row>
    <row r="82" spans="1:18" ht="15" customHeight="1" x14ac:dyDescent="0.25">
      <c r="A82" s="115">
        <v>79</v>
      </c>
      <c r="B82" s="116" t="s">
        <v>80</v>
      </c>
      <c r="C82" s="115" t="s">
        <v>77</v>
      </c>
      <c r="D82" s="115" t="s">
        <v>195</v>
      </c>
      <c r="E82" s="115" t="s">
        <v>146</v>
      </c>
      <c r="F82" s="117">
        <v>45305</v>
      </c>
      <c r="G82" s="117">
        <v>45319</v>
      </c>
      <c r="H82" s="115">
        <f t="shared" si="8"/>
        <v>14</v>
      </c>
      <c r="I82" s="115" t="str">
        <f t="shared" si="9"/>
        <v>In Progress</v>
      </c>
      <c r="J82" s="118">
        <v>0.4</v>
      </c>
      <c r="K82" s="115" t="s">
        <v>106</v>
      </c>
      <c r="L82" s="119">
        <v>3500</v>
      </c>
      <c r="M82" s="115">
        <v>100</v>
      </c>
      <c r="N82" s="119">
        <f t="shared" si="10"/>
        <v>49000</v>
      </c>
      <c r="O82" s="115" t="s">
        <v>139</v>
      </c>
      <c r="P82" s="115" t="str">
        <f t="shared" si="11"/>
        <v>In Progress</v>
      </c>
      <c r="Q82" s="115"/>
      <c r="R82" s="115"/>
    </row>
    <row r="83" spans="1:18" ht="15" customHeight="1" x14ac:dyDescent="0.25">
      <c r="A83" s="120">
        <v>80</v>
      </c>
      <c r="B83" s="121" t="s">
        <v>83</v>
      </c>
      <c r="C83" s="120" t="s">
        <v>86</v>
      </c>
      <c r="D83" s="120" t="s">
        <v>201</v>
      </c>
      <c r="E83" s="120" t="s">
        <v>129</v>
      </c>
      <c r="F83" s="122">
        <v>45300</v>
      </c>
      <c r="G83" s="122">
        <v>45328</v>
      </c>
      <c r="H83" s="120">
        <f t="shared" si="8"/>
        <v>28</v>
      </c>
      <c r="I83" s="120" t="str">
        <f t="shared" si="9"/>
        <v>In Progress</v>
      </c>
      <c r="J83" s="123">
        <v>1</v>
      </c>
      <c r="K83" s="120" t="s">
        <v>106</v>
      </c>
      <c r="L83" s="124">
        <v>3000</v>
      </c>
      <c r="M83" s="120">
        <v>160</v>
      </c>
      <c r="N83" s="124">
        <f t="shared" si="10"/>
        <v>84000</v>
      </c>
      <c r="O83" s="120" t="s">
        <v>186</v>
      </c>
      <c r="P83" s="120" t="str">
        <f t="shared" si="11"/>
        <v>In Progress</v>
      </c>
      <c r="Q83" s="120"/>
      <c r="R83" s="120"/>
    </row>
    <row r="84" spans="1:18" ht="15" customHeight="1" x14ac:dyDescent="0.25">
      <c r="A84" s="125">
        <v>81</v>
      </c>
      <c r="B84" s="126" t="s">
        <v>52</v>
      </c>
      <c r="C84" s="125" t="s">
        <v>55</v>
      </c>
      <c r="D84" s="125" t="s">
        <v>261</v>
      </c>
      <c r="E84" s="125" t="s">
        <v>103</v>
      </c>
      <c r="F84" s="127">
        <v>45306</v>
      </c>
      <c r="G84" s="127">
        <v>45313</v>
      </c>
      <c r="H84" s="125">
        <f t="shared" si="8"/>
        <v>7</v>
      </c>
      <c r="I84" s="125" t="str">
        <f t="shared" si="9"/>
        <v>Not Started</v>
      </c>
      <c r="J84" s="128">
        <v>0</v>
      </c>
      <c r="K84" s="125" t="s">
        <v>56</v>
      </c>
      <c r="L84" s="129">
        <v>3000</v>
      </c>
      <c r="M84" s="125">
        <v>160</v>
      </c>
      <c r="N84" s="129">
        <f t="shared" si="10"/>
        <v>21000</v>
      </c>
      <c r="O84" s="125" t="s">
        <v>108</v>
      </c>
      <c r="P84" s="125" t="str">
        <f t="shared" si="11"/>
        <v>Not Started</v>
      </c>
      <c r="Q84" s="125"/>
      <c r="R84" s="125"/>
    </row>
    <row r="85" spans="1:18" ht="15" customHeight="1" x14ac:dyDescent="0.25">
      <c r="A85" s="125">
        <v>82</v>
      </c>
      <c r="B85" s="126" t="s">
        <v>57</v>
      </c>
      <c r="C85" s="125" t="s">
        <v>67</v>
      </c>
      <c r="D85" s="125" t="s">
        <v>261</v>
      </c>
      <c r="E85" s="125" t="s">
        <v>191</v>
      </c>
      <c r="F85" s="127">
        <v>45333</v>
      </c>
      <c r="G85" s="127">
        <v>45347</v>
      </c>
      <c r="H85" s="125">
        <f t="shared" si="8"/>
        <v>14</v>
      </c>
      <c r="I85" s="125" t="str">
        <f t="shared" si="9"/>
        <v>In Progress</v>
      </c>
      <c r="J85" s="128">
        <v>0.75</v>
      </c>
      <c r="K85" s="125" t="s">
        <v>73</v>
      </c>
      <c r="L85" s="129">
        <v>5000</v>
      </c>
      <c r="M85" s="125">
        <v>100</v>
      </c>
      <c r="N85" s="129">
        <f t="shared" si="10"/>
        <v>70000</v>
      </c>
      <c r="O85" s="125" t="s">
        <v>175</v>
      </c>
      <c r="P85" s="125" t="str">
        <f t="shared" si="11"/>
        <v>In Progress</v>
      </c>
      <c r="Q85" s="125"/>
      <c r="R85" s="125"/>
    </row>
    <row r="86" spans="1:18" ht="15" customHeight="1" x14ac:dyDescent="0.25">
      <c r="A86" s="120">
        <v>83</v>
      </c>
      <c r="B86" s="121" t="s">
        <v>60</v>
      </c>
      <c r="C86" s="120" t="s">
        <v>77</v>
      </c>
      <c r="D86" s="120" t="s">
        <v>72</v>
      </c>
      <c r="E86" s="120" t="s">
        <v>230</v>
      </c>
      <c r="F86" s="122">
        <v>45309</v>
      </c>
      <c r="G86" s="122">
        <v>45321</v>
      </c>
      <c r="H86" s="120">
        <f t="shared" si="8"/>
        <v>12</v>
      </c>
      <c r="I86" s="120" t="str">
        <f t="shared" si="9"/>
        <v>In Progress</v>
      </c>
      <c r="J86" s="123">
        <v>0.75</v>
      </c>
      <c r="K86" s="120" t="s">
        <v>63</v>
      </c>
      <c r="L86" s="124">
        <v>2000</v>
      </c>
      <c r="M86" s="120">
        <v>0</v>
      </c>
      <c r="N86" s="124">
        <f t="shared" si="10"/>
        <v>24000</v>
      </c>
      <c r="O86" s="120" t="s">
        <v>194</v>
      </c>
      <c r="P86" s="120" t="str">
        <f t="shared" si="11"/>
        <v>In Progress</v>
      </c>
      <c r="Q86" s="120"/>
      <c r="R86" s="120"/>
    </row>
    <row r="87" spans="1:18" ht="15" customHeight="1" x14ac:dyDescent="0.25">
      <c r="A87" s="115">
        <v>84</v>
      </c>
      <c r="B87" s="116" t="s">
        <v>64</v>
      </c>
      <c r="C87" s="115" t="s">
        <v>86</v>
      </c>
      <c r="D87" s="115" t="s">
        <v>237</v>
      </c>
      <c r="E87" s="115" t="s">
        <v>146</v>
      </c>
      <c r="F87" s="117">
        <v>45308</v>
      </c>
      <c r="G87" s="117">
        <v>45322</v>
      </c>
      <c r="H87" s="115">
        <f t="shared" si="8"/>
        <v>14</v>
      </c>
      <c r="I87" s="115" t="str">
        <f t="shared" si="9"/>
        <v>In Progress</v>
      </c>
      <c r="J87" s="118">
        <v>0.4</v>
      </c>
      <c r="K87" s="115" t="s">
        <v>106</v>
      </c>
      <c r="L87" s="119">
        <v>4200</v>
      </c>
      <c r="M87" s="115">
        <v>140</v>
      </c>
      <c r="N87" s="119">
        <f t="shared" si="10"/>
        <v>58800</v>
      </c>
      <c r="O87" s="115" t="s">
        <v>169</v>
      </c>
      <c r="P87" s="115" t="str">
        <f t="shared" si="11"/>
        <v>In Progress</v>
      </c>
      <c r="Q87" s="115"/>
      <c r="R87" s="115"/>
    </row>
    <row r="88" spans="1:18" ht="15" customHeight="1" x14ac:dyDescent="0.25">
      <c r="A88" s="125">
        <v>85</v>
      </c>
      <c r="B88" s="126" t="s">
        <v>68</v>
      </c>
      <c r="C88" s="125" t="s">
        <v>55</v>
      </c>
      <c r="D88" s="125" t="s">
        <v>140</v>
      </c>
      <c r="E88" s="125" t="s">
        <v>129</v>
      </c>
      <c r="F88" s="127">
        <v>45394</v>
      </c>
      <c r="G88" s="127">
        <v>45408</v>
      </c>
      <c r="H88" s="125">
        <f t="shared" si="8"/>
        <v>14</v>
      </c>
      <c r="I88" s="125" t="str">
        <f t="shared" si="9"/>
        <v>In Progress</v>
      </c>
      <c r="J88" s="128">
        <v>0.75</v>
      </c>
      <c r="K88" s="125" t="s">
        <v>106</v>
      </c>
      <c r="L88" s="129">
        <v>5000</v>
      </c>
      <c r="M88" s="125">
        <v>100</v>
      </c>
      <c r="N88" s="129">
        <f t="shared" si="10"/>
        <v>70000</v>
      </c>
      <c r="O88" s="125" t="s">
        <v>108</v>
      </c>
      <c r="P88" s="125" t="str">
        <f t="shared" si="11"/>
        <v>In Progress</v>
      </c>
      <c r="Q88" s="125"/>
      <c r="R88" s="125"/>
    </row>
    <row r="89" spans="1:18" ht="15" customHeight="1" x14ac:dyDescent="0.25">
      <c r="A89" s="120">
        <v>86</v>
      </c>
      <c r="B89" s="121" t="s">
        <v>70</v>
      </c>
      <c r="C89" s="120" t="s">
        <v>67</v>
      </c>
      <c r="D89" s="120" t="s">
        <v>145</v>
      </c>
      <c r="E89" s="120" t="s">
        <v>103</v>
      </c>
      <c r="F89" s="122">
        <v>45324</v>
      </c>
      <c r="G89" s="122">
        <v>45345</v>
      </c>
      <c r="H89" s="120">
        <f t="shared" si="8"/>
        <v>21</v>
      </c>
      <c r="I89" s="120" t="str">
        <f t="shared" si="9"/>
        <v>In Progress</v>
      </c>
      <c r="J89" s="123">
        <v>0.25</v>
      </c>
      <c r="K89" s="120" t="s">
        <v>73</v>
      </c>
      <c r="L89" s="124">
        <v>3500</v>
      </c>
      <c r="M89" s="120">
        <v>0</v>
      </c>
      <c r="N89" s="124">
        <f t="shared" si="10"/>
        <v>73500</v>
      </c>
      <c r="O89" s="120" t="s">
        <v>108</v>
      </c>
      <c r="P89" s="120" t="str">
        <f t="shared" si="11"/>
        <v>In Progress</v>
      </c>
      <c r="Q89" s="120"/>
      <c r="R89" s="120"/>
    </row>
    <row r="90" spans="1:18" ht="15" customHeight="1" x14ac:dyDescent="0.25">
      <c r="A90" s="125">
        <v>87</v>
      </c>
      <c r="B90" s="126" t="s">
        <v>74</v>
      </c>
      <c r="C90" s="125" t="s">
        <v>77</v>
      </c>
      <c r="D90" s="125" t="s">
        <v>154</v>
      </c>
      <c r="E90" s="125" t="s">
        <v>191</v>
      </c>
      <c r="F90" s="127">
        <v>45373</v>
      </c>
      <c r="G90" s="127">
        <v>45394</v>
      </c>
      <c r="H90" s="125">
        <f t="shared" si="8"/>
        <v>21</v>
      </c>
      <c r="I90" s="125" t="str">
        <f t="shared" si="9"/>
        <v>Not Started</v>
      </c>
      <c r="J90" s="128">
        <v>0</v>
      </c>
      <c r="K90" s="125" t="s">
        <v>56</v>
      </c>
      <c r="L90" s="129">
        <v>5500</v>
      </c>
      <c r="M90" s="125">
        <v>140</v>
      </c>
      <c r="N90" s="129">
        <f t="shared" si="10"/>
        <v>115500</v>
      </c>
      <c r="O90" s="125" t="s">
        <v>108</v>
      </c>
      <c r="P90" s="125" t="str">
        <f t="shared" si="11"/>
        <v>Not Started</v>
      </c>
      <c r="Q90" s="125"/>
      <c r="R90" s="125"/>
    </row>
    <row r="91" spans="1:18" ht="15" customHeight="1" x14ac:dyDescent="0.25">
      <c r="A91" s="125">
        <v>88</v>
      </c>
      <c r="B91" s="126" t="s">
        <v>78</v>
      </c>
      <c r="C91" s="125" t="s">
        <v>86</v>
      </c>
      <c r="D91" s="125" t="s">
        <v>164</v>
      </c>
      <c r="E91" s="125" t="s">
        <v>230</v>
      </c>
      <c r="F91" s="127">
        <v>45355</v>
      </c>
      <c r="G91" s="127">
        <v>45369</v>
      </c>
      <c r="H91" s="125">
        <f t="shared" si="8"/>
        <v>14</v>
      </c>
      <c r="I91" s="125" t="str">
        <f t="shared" si="9"/>
        <v>In Progress</v>
      </c>
      <c r="J91" s="128">
        <v>0.5</v>
      </c>
      <c r="K91" s="125" t="s">
        <v>56</v>
      </c>
      <c r="L91" s="129">
        <v>3000</v>
      </c>
      <c r="M91" s="125">
        <v>60</v>
      </c>
      <c r="N91" s="129">
        <f t="shared" si="10"/>
        <v>42000</v>
      </c>
      <c r="O91" s="125" t="s">
        <v>169</v>
      </c>
      <c r="P91" s="125" t="str">
        <f t="shared" si="11"/>
        <v>In Progress</v>
      </c>
      <c r="Q91" s="125"/>
      <c r="R91" s="125"/>
    </row>
    <row r="92" spans="1:18" ht="15" customHeight="1" x14ac:dyDescent="0.25">
      <c r="A92" s="120">
        <v>89</v>
      </c>
      <c r="B92" s="121" t="s">
        <v>80</v>
      </c>
      <c r="C92" s="120" t="s">
        <v>55</v>
      </c>
      <c r="D92" s="120" t="s">
        <v>164</v>
      </c>
      <c r="E92" s="120" t="s">
        <v>146</v>
      </c>
      <c r="F92" s="122">
        <v>45350</v>
      </c>
      <c r="G92" s="122">
        <v>45364</v>
      </c>
      <c r="H92" s="120">
        <f t="shared" si="8"/>
        <v>14</v>
      </c>
      <c r="I92" s="120" t="str">
        <f t="shared" si="9"/>
        <v>In Progress</v>
      </c>
      <c r="J92" s="123">
        <v>0.4</v>
      </c>
      <c r="K92" s="120" t="s">
        <v>106</v>
      </c>
      <c r="L92" s="124">
        <v>3000</v>
      </c>
      <c r="M92" s="120">
        <v>160</v>
      </c>
      <c r="N92" s="124">
        <f t="shared" si="10"/>
        <v>42000</v>
      </c>
      <c r="O92" s="120" t="s">
        <v>169</v>
      </c>
      <c r="P92" s="120" t="str">
        <f t="shared" si="11"/>
        <v>In Progress</v>
      </c>
      <c r="Q92" s="120"/>
      <c r="R92" s="120"/>
    </row>
    <row r="93" spans="1:18" ht="15" customHeight="1" x14ac:dyDescent="0.25">
      <c r="A93" s="115">
        <v>90</v>
      </c>
      <c r="B93" s="116" t="s">
        <v>83</v>
      </c>
      <c r="C93" s="115" t="s">
        <v>67</v>
      </c>
      <c r="D93" s="115" t="s">
        <v>187</v>
      </c>
      <c r="E93" s="115" t="s">
        <v>129</v>
      </c>
      <c r="F93" s="117">
        <v>45407</v>
      </c>
      <c r="G93" s="117">
        <v>45421</v>
      </c>
      <c r="H93" s="115">
        <f t="shared" si="8"/>
        <v>14</v>
      </c>
      <c r="I93" s="115" t="str">
        <f t="shared" si="9"/>
        <v>Not Started</v>
      </c>
      <c r="J93" s="118">
        <v>0</v>
      </c>
      <c r="K93" s="115" t="s">
        <v>73</v>
      </c>
      <c r="L93" s="119">
        <v>4200</v>
      </c>
      <c r="M93" s="115">
        <v>0</v>
      </c>
      <c r="N93" s="119">
        <f t="shared" si="10"/>
        <v>58800</v>
      </c>
      <c r="O93" s="115" t="s">
        <v>175</v>
      </c>
      <c r="P93" s="115" t="str">
        <f t="shared" si="11"/>
        <v>Not Started</v>
      </c>
      <c r="Q93" s="115"/>
      <c r="R93" s="115"/>
    </row>
    <row r="94" spans="1:18" ht="15" customHeight="1" x14ac:dyDescent="0.25">
      <c r="A94" s="115">
        <v>91</v>
      </c>
      <c r="B94" s="116" t="s">
        <v>52</v>
      </c>
      <c r="C94" s="115" t="s">
        <v>77</v>
      </c>
      <c r="D94" s="115" t="s">
        <v>187</v>
      </c>
      <c r="E94" s="115" t="s">
        <v>103</v>
      </c>
      <c r="F94" s="117">
        <v>45422</v>
      </c>
      <c r="G94" s="117">
        <v>45434</v>
      </c>
      <c r="H94" s="115">
        <f t="shared" si="8"/>
        <v>12</v>
      </c>
      <c r="I94" s="115" t="str">
        <f t="shared" si="9"/>
        <v>In Progress</v>
      </c>
      <c r="J94" s="118">
        <v>0.75</v>
      </c>
      <c r="K94" s="115" t="s">
        <v>106</v>
      </c>
      <c r="L94" s="119">
        <v>4000</v>
      </c>
      <c r="M94" s="115">
        <v>80</v>
      </c>
      <c r="N94" s="119">
        <f t="shared" si="10"/>
        <v>48000</v>
      </c>
      <c r="O94" s="115" t="s">
        <v>139</v>
      </c>
      <c r="P94" s="115" t="str">
        <f t="shared" si="11"/>
        <v>In Progress</v>
      </c>
      <c r="Q94" s="115"/>
      <c r="R94" s="115"/>
    </row>
    <row r="95" spans="1:18" ht="15" customHeight="1" x14ac:dyDescent="0.25">
      <c r="A95" s="115">
        <v>92</v>
      </c>
      <c r="B95" s="116" t="s">
        <v>57</v>
      </c>
      <c r="C95" s="115" t="s">
        <v>86</v>
      </c>
      <c r="D95" s="115" t="s">
        <v>116</v>
      </c>
      <c r="E95" s="115" t="s">
        <v>191</v>
      </c>
      <c r="F95" s="117">
        <v>45345</v>
      </c>
      <c r="G95" s="117">
        <v>45373</v>
      </c>
      <c r="H95" s="115">
        <f t="shared" si="8"/>
        <v>28</v>
      </c>
      <c r="I95" s="115" t="str">
        <f t="shared" si="9"/>
        <v>In Progress</v>
      </c>
      <c r="J95" s="118">
        <v>1</v>
      </c>
      <c r="K95" s="115" t="s">
        <v>106</v>
      </c>
      <c r="L95" s="119">
        <v>2000</v>
      </c>
      <c r="M95" s="115">
        <v>120</v>
      </c>
      <c r="N95" s="119">
        <f t="shared" si="10"/>
        <v>56000</v>
      </c>
      <c r="O95" s="115" t="s">
        <v>108</v>
      </c>
      <c r="P95" s="115" t="str">
        <f t="shared" si="11"/>
        <v>In Progress</v>
      </c>
      <c r="Q95" s="115"/>
      <c r="R95" s="115"/>
    </row>
    <row r="96" spans="1:18" ht="15" customHeight="1" x14ac:dyDescent="0.25">
      <c r="A96" s="120">
        <v>93</v>
      </c>
      <c r="B96" s="121" t="s">
        <v>60</v>
      </c>
      <c r="C96" s="120" t="s">
        <v>55</v>
      </c>
      <c r="D96" s="120" t="s">
        <v>102</v>
      </c>
      <c r="E96" s="120" t="s">
        <v>230</v>
      </c>
      <c r="F96" s="122">
        <v>45333</v>
      </c>
      <c r="G96" s="122">
        <v>45340</v>
      </c>
      <c r="H96" s="120">
        <f t="shared" si="8"/>
        <v>7</v>
      </c>
      <c r="I96" s="120" t="str">
        <f t="shared" si="9"/>
        <v>In Progress</v>
      </c>
      <c r="J96" s="123">
        <v>0.5</v>
      </c>
      <c r="K96" s="120" t="s">
        <v>56</v>
      </c>
      <c r="L96" s="124">
        <v>2000</v>
      </c>
      <c r="M96" s="120">
        <v>100</v>
      </c>
      <c r="N96" s="124">
        <f t="shared" si="10"/>
        <v>14000</v>
      </c>
      <c r="O96" s="120" t="s">
        <v>175</v>
      </c>
      <c r="P96" s="120" t="str">
        <f t="shared" si="11"/>
        <v>In Progress</v>
      </c>
      <c r="Q96" s="120"/>
      <c r="R96" s="120"/>
    </row>
    <row r="97" spans="1:18" ht="15" customHeight="1" x14ac:dyDescent="0.25">
      <c r="A97" s="120">
        <v>94</v>
      </c>
      <c r="B97" s="121" t="s">
        <v>64</v>
      </c>
      <c r="C97" s="120" t="s">
        <v>67</v>
      </c>
      <c r="D97" s="120" t="s">
        <v>195</v>
      </c>
      <c r="E97" s="120" t="s">
        <v>146</v>
      </c>
      <c r="F97" s="122">
        <v>45323</v>
      </c>
      <c r="G97" s="122">
        <v>45335</v>
      </c>
      <c r="H97" s="120">
        <f t="shared" si="8"/>
        <v>12</v>
      </c>
      <c r="I97" s="120" t="str">
        <f t="shared" si="9"/>
        <v>In Progress</v>
      </c>
      <c r="J97" s="123">
        <v>0.65</v>
      </c>
      <c r="K97" s="120" t="s">
        <v>106</v>
      </c>
      <c r="L97" s="124">
        <v>3000</v>
      </c>
      <c r="M97" s="120">
        <v>160</v>
      </c>
      <c r="N97" s="124">
        <f t="shared" si="10"/>
        <v>36000</v>
      </c>
      <c r="O97" s="120" t="s">
        <v>186</v>
      </c>
      <c r="P97" s="120" t="str">
        <f t="shared" si="11"/>
        <v>In Progress</v>
      </c>
      <c r="Q97" s="120"/>
      <c r="R97" s="120"/>
    </row>
    <row r="98" spans="1:18" ht="15" customHeight="1" x14ac:dyDescent="0.25">
      <c r="A98" s="120">
        <v>95</v>
      </c>
      <c r="B98" s="121" t="s">
        <v>68</v>
      </c>
      <c r="C98" s="120" t="s">
        <v>77</v>
      </c>
      <c r="D98" s="120" t="s">
        <v>128</v>
      </c>
      <c r="E98" s="120" t="s">
        <v>129</v>
      </c>
      <c r="F98" s="122">
        <v>45417</v>
      </c>
      <c r="G98" s="122">
        <v>45424</v>
      </c>
      <c r="H98" s="120">
        <f t="shared" si="8"/>
        <v>7</v>
      </c>
      <c r="I98" s="120" t="str">
        <f t="shared" si="9"/>
        <v>Not Started</v>
      </c>
      <c r="J98" s="123">
        <v>0</v>
      </c>
      <c r="K98" s="120" t="s">
        <v>106</v>
      </c>
      <c r="L98" s="124">
        <v>5500</v>
      </c>
      <c r="M98" s="120">
        <v>140</v>
      </c>
      <c r="N98" s="124">
        <f t="shared" si="10"/>
        <v>38500</v>
      </c>
      <c r="O98" s="120" t="s">
        <v>175</v>
      </c>
      <c r="P98" s="120" t="str">
        <f t="shared" si="11"/>
        <v>Not Started</v>
      </c>
      <c r="Q98" s="120"/>
      <c r="R98" s="120"/>
    </row>
    <row r="99" spans="1:18" ht="15" customHeight="1" x14ac:dyDescent="0.25">
      <c r="A99" s="120">
        <v>96</v>
      </c>
      <c r="B99" s="121" t="s">
        <v>70</v>
      </c>
      <c r="C99" s="120" t="s">
        <v>86</v>
      </c>
      <c r="D99" s="120" t="s">
        <v>261</v>
      </c>
      <c r="E99" s="120" t="s">
        <v>103</v>
      </c>
      <c r="F99" s="122">
        <v>45319</v>
      </c>
      <c r="G99" s="122">
        <v>45347</v>
      </c>
      <c r="H99" s="120">
        <f t="shared" si="8"/>
        <v>28</v>
      </c>
      <c r="I99" s="120" t="str">
        <f t="shared" si="9"/>
        <v>In Progress</v>
      </c>
      <c r="J99" s="123">
        <v>0.25</v>
      </c>
      <c r="K99" s="120" t="s">
        <v>56</v>
      </c>
      <c r="L99" s="124">
        <v>2000</v>
      </c>
      <c r="M99" s="120">
        <v>80</v>
      </c>
      <c r="N99" s="124">
        <f t="shared" si="10"/>
        <v>56000</v>
      </c>
      <c r="O99" s="120" t="s">
        <v>108</v>
      </c>
      <c r="P99" s="120" t="str">
        <f t="shared" si="11"/>
        <v>In Progress</v>
      </c>
      <c r="Q99" s="120"/>
      <c r="R99" s="120"/>
    </row>
    <row r="100" spans="1:18" ht="15" customHeight="1" x14ac:dyDescent="0.25">
      <c r="A100" s="125">
        <v>97</v>
      </c>
      <c r="B100" s="126" t="s">
        <v>74</v>
      </c>
      <c r="C100" s="125" t="s">
        <v>55</v>
      </c>
      <c r="D100" s="125" t="s">
        <v>72</v>
      </c>
      <c r="E100" s="125" t="s">
        <v>191</v>
      </c>
      <c r="F100" s="127">
        <v>45417</v>
      </c>
      <c r="G100" s="127">
        <v>45431</v>
      </c>
      <c r="H100" s="125">
        <f t="shared" ref="H100:H131" si="12">IF(OR(F100="",G100=""),"",G100-F100)</f>
        <v>14</v>
      </c>
      <c r="I100" s="125" t="str">
        <f t="shared" ref="I100:I131" si="13">IFERROR(IF(VALUE(SUBSTITUTE(SUBSTITUTE(J100,"%","")," ",""))&lt;=0,"Not Started",IF(VALUE(SUBSTITUTE(SUBSTITUTE(J100,"%","")," ",""))&gt;=100,"Completed","In Progress")),"Not Started")</f>
        <v>In Progress</v>
      </c>
      <c r="J100" s="128">
        <v>0.5</v>
      </c>
      <c r="K100" s="125" t="s">
        <v>73</v>
      </c>
      <c r="L100" s="129">
        <v>4000</v>
      </c>
      <c r="M100" s="125">
        <v>168</v>
      </c>
      <c r="N100" s="129">
        <f t="shared" ref="N100:N123" si="14">IF(OR(L100="",H100=""),"",L100*H100)</f>
        <v>56000</v>
      </c>
      <c r="O100" s="125" t="s">
        <v>175</v>
      </c>
      <c r="P100" s="125" t="str">
        <f t="shared" ref="P100:P123" si="15">IFERROR(IF(VALUE(SUBSTITUTE(SUBSTITUTE(J100,"%","")," ",""))&gt;=100,"Completed",IF(VALUE(SUBSTITUTE(SUBSTITUTE(J100,"%","")," ",""))&lt;=0,"Not Started","In Progress")),"Not Started")</f>
        <v>In Progress</v>
      </c>
      <c r="Q100" s="125"/>
      <c r="R100" s="125"/>
    </row>
    <row r="101" spans="1:18" ht="15" customHeight="1" x14ac:dyDescent="0.25">
      <c r="A101" s="120">
        <v>98</v>
      </c>
      <c r="B101" s="121" t="s">
        <v>78</v>
      </c>
      <c r="C101" s="120" t="s">
        <v>67</v>
      </c>
      <c r="D101" s="120" t="s">
        <v>72</v>
      </c>
      <c r="E101" s="120" t="s">
        <v>230</v>
      </c>
      <c r="F101" s="122">
        <v>45442</v>
      </c>
      <c r="G101" s="122">
        <v>45452</v>
      </c>
      <c r="H101" s="120">
        <f t="shared" si="12"/>
        <v>10</v>
      </c>
      <c r="I101" s="120" t="str">
        <f t="shared" si="13"/>
        <v>In Progress</v>
      </c>
      <c r="J101" s="123">
        <v>0.4</v>
      </c>
      <c r="K101" s="120" t="s">
        <v>63</v>
      </c>
      <c r="L101" s="124">
        <v>3000</v>
      </c>
      <c r="M101" s="120">
        <v>80</v>
      </c>
      <c r="N101" s="124">
        <f t="shared" si="14"/>
        <v>30000</v>
      </c>
      <c r="O101" s="120" t="s">
        <v>169</v>
      </c>
      <c r="P101" s="120" t="str">
        <f t="shared" si="15"/>
        <v>In Progress</v>
      </c>
      <c r="Q101" s="120"/>
      <c r="R101" s="120"/>
    </row>
    <row r="102" spans="1:18" ht="15" customHeight="1" x14ac:dyDescent="0.25">
      <c r="A102" s="120">
        <v>99</v>
      </c>
      <c r="B102" s="121" t="s">
        <v>80</v>
      </c>
      <c r="C102" s="120" t="s">
        <v>77</v>
      </c>
      <c r="D102" s="120" t="s">
        <v>237</v>
      </c>
      <c r="E102" s="120" t="s">
        <v>146</v>
      </c>
      <c r="F102" s="122">
        <v>45321</v>
      </c>
      <c r="G102" s="122">
        <v>45333</v>
      </c>
      <c r="H102" s="120">
        <f t="shared" si="12"/>
        <v>12</v>
      </c>
      <c r="I102" s="120" t="str">
        <f t="shared" si="13"/>
        <v>In Progress</v>
      </c>
      <c r="J102" s="123">
        <v>0.25</v>
      </c>
      <c r="K102" s="120" t="s">
        <v>106</v>
      </c>
      <c r="L102" s="124">
        <v>4200</v>
      </c>
      <c r="M102" s="120">
        <v>168</v>
      </c>
      <c r="N102" s="124">
        <f t="shared" si="14"/>
        <v>50400</v>
      </c>
      <c r="O102" s="120" t="s">
        <v>169</v>
      </c>
      <c r="P102" s="120" t="str">
        <f t="shared" si="15"/>
        <v>In Progress</v>
      </c>
      <c r="Q102" s="120"/>
      <c r="R102" s="120"/>
    </row>
    <row r="103" spans="1:18" ht="15" customHeight="1" x14ac:dyDescent="0.25">
      <c r="A103" s="120">
        <v>100</v>
      </c>
      <c r="B103" s="121" t="s">
        <v>83</v>
      </c>
      <c r="C103" s="120" t="s">
        <v>86</v>
      </c>
      <c r="D103" s="120" t="s">
        <v>145</v>
      </c>
      <c r="E103" s="120" t="s">
        <v>129</v>
      </c>
      <c r="F103" s="122">
        <v>45367</v>
      </c>
      <c r="G103" s="122">
        <v>45388</v>
      </c>
      <c r="H103" s="120">
        <f t="shared" si="12"/>
        <v>21</v>
      </c>
      <c r="I103" s="120" t="str">
        <f t="shared" si="13"/>
        <v>In Progress</v>
      </c>
      <c r="J103" s="123">
        <v>0.65</v>
      </c>
      <c r="K103" s="120" t="s">
        <v>56</v>
      </c>
      <c r="L103" s="124">
        <v>3500</v>
      </c>
      <c r="M103" s="120">
        <v>60</v>
      </c>
      <c r="N103" s="124">
        <f t="shared" si="14"/>
        <v>73500</v>
      </c>
      <c r="O103" s="120" t="s">
        <v>175</v>
      </c>
      <c r="P103" s="120" t="str">
        <f t="shared" si="15"/>
        <v>In Progress</v>
      </c>
      <c r="Q103" s="120"/>
      <c r="R103" s="120"/>
    </row>
    <row r="104" spans="1:18" ht="15" customHeight="1" x14ac:dyDescent="0.25">
      <c r="A104" s="120">
        <v>101</v>
      </c>
      <c r="B104" s="121" t="s">
        <v>52</v>
      </c>
      <c r="C104" s="120" t="s">
        <v>55</v>
      </c>
      <c r="D104" s="120" t="s">
        <v>140</v>
      </c>
      <c r="E104" s="120" t="s">
        <v>103</v>
      </c>
      <c r="F104" s="122">
        <v>45339</v>
      </c>
      <c r="G104" s="122">
        <v>45360</v>
      </c>
      <c r="H104" s="120">
        <f t="shared" si="12"/>
        <v>21</v>
      </c>
      <c r="I104" s="120" t="str">
        <f t="shared" si="13"/>
        <v>In Progress</v>
      </c>
      <c r="J104" s="123">
        <v>0.25</v>
      </c>
      <c r="K104" s="120" t="s">
        <v>63</v>
      </c>
      <c r="L104" s="124">
        <v>5000</v>
      </c>
      <c r="M104" s="120">
        <v>100</v>
      </c>
      <c r="N104" s="124">
        <f t="shared" si="14"/>
        <v>105000</v>
      </c>
      <c r="O104" s="120" t="s">
        <v>169</v>
      </c>
      <c r="P104" s="120" t="str">
        <f t="shared" si="15"/>
        <v>In Progress</v>
      </c>
      <c r="Q104" s="120"/>
      <c r="R104" s="120"/>
    </row>
    <row r="105" spans="1:18" ht="15" customHeight="1" x14ac:dyDescent="0.25">
      <c r="A105" s="125">
        <v>102</v>
      </c>
      <c r="B105" s="126" t="s">
        <v>57</v>
      </c>
      <c r="C105" s="125" t="s">
        <v>67</v>
      </c>
      <c r="D105" s="125" t="s">
        <v>154</v>
      </c>
      <c r="E105" s="125" t="s">
        <v>191</v>
      </c>
      <c r="F105" s="127">
        <v>45292</v>
      </c>
      <c r="G105" s="127">
        <v>45320</v>
      </c>
      <c r="H105" s="125">
        <f t="shared" si="12"/>
        <v>28</v>
      </c>
      <c r="I105" s="125" t="str">
        <f t="shared" si="13"/>
        <v>In Progress</v>
      </c>
      <c r="J105" s="128">
        <v>0.4</v>
      </c>
      <c r="K105" s="125" t="s">
        <v>73</v>
      </c>
      <c r="L105" s="129">
        <v>5500</v>
      </c>
      <c r="M105" s="125">
        <v>168</v>
      </c>
      <c r="N105" s="129">
        <f t="shared" si="14"/>
        <v>154000</v>
      </c>
      <c r="O105" s="125" t="s">
        <v>175</v>
      </c>
      <c r="P105" s="125" t="str">
        <f t="shared" si="15"/>
        <v>In Progress</v>
      </c>
      <c r="Q105" s="125"/>
      <c r="R105" s="125"/>
    </row>
    <row r="106" spans="1:18" ht="15" customHeight="1" x14ac:dyDescent="0.25">
      <c r="A106" s="115">
        <v>103</v>
      </c>
      <c r="B106" s="116" t="s">
        <v>60</v>
      </c>
      <c r="C106" s="115" t="s">
        <v>77</v>
      </c>
      <c r="D106" s="115" t="s">
        <v>164</v>
      </c>
      <c r="E106" s="115" t="s">
        <v>230</v>
      </c>
      <c r="F106" s="117">
        <v>45298</v>
      </c>
      <c r="G106" s="117">
        <v>45308</v>
      </c>
      <c r="H106" s="115">
        <f t="shared" si="12"/>
        <v>10</v>
      </c>
      <c r="I106" s="115" t="str">
        <f t="shared" si="13"/>
        <v>In Progress</v>
      </c>
      <c r="J106" s="118">
        <v>0.5</v>
      </c>
      <c r="K106" s="115" t="s">
        <v>56</v>
      </c>
      <c r="L106" s="119">
        <v>3500</v>
      </c>
      <c r="M106" s="115">
        <v>120</v>
      </c>
      <c r="N106" s="119">
        <f t="shared" si="14"/>
        <v>35000</v>
      </c>
      <c r="O106" s="115" t="s">
        <v>169</v>
      </c>
      <c r="P106" s="115" t="str">
        <f t="shared" si="15"/>
        <v>In Progress</v>
      </c>
      <c r="Q106" s="115"/>
      <c r="R106" s="115"/>
    </row>
    <row r="107" spans="1:18" ht="15" customHeight="1" x14ac:dyDescent="0.25">
      <c r="A107" s="115">
        <v>104</v>
      </c>
      <c r="B107" s="116" t="s">
        <v>64</v>
      </c>
      <c r="C107" s="115" t="s">
        <v>86</v>
      </c>
      <c r="D107" s="115" t="s">
        <v>154</v>
      </c>
      <c r="E107" s="115" t="s">
        <v>146</v>
      </c>
      <c r="F107" s="117">
        <v>45296</v>
      </c>
      <c r="G107" s="117">
        <v>45317</v>
      </c>
      <c r="H107" s="115">
        <f t="shared" si="12"/>
        <v>21</v>
      </c>
      <c r="I107" s="115" t="str">
        <f t="shared" si="13"/>
        <v>In Progress</v>
      </c>
      <c r="J107" s="118">
        <v>0.25</v>
      </c>
      <c r="K107" s="115" t="s">
        <v>63</v>
      </c>
      <c r="L107" s="119">
        <v>4200</v>
      </c>
      <c r="M107" s="115">
        <v>60</v>
      </c>
      <c r="N107" s="119">
        <f t="shared" si="14"/>
        <v>88200</v>
      </c>
      <c r="O107" s="115" t="s">
        <v>169</v>
      </c>
      <c r="P107" s="115" t="str">
        <f t="shared" si="15"/>
        <v>In Progress</v>
      </c>
      <c r="Q107" s="115"/>
      <c r="R107" s="115"/>
    </row>
    <row r="108" spans="1:18" ht="15" customHeight="1" x14ac:dyDescent="0.25">
      <c r="A108" s="120">
        <v>105</v>
      </c>
      <c r="B108" s="121" t="s">
        <v>68</v>
      </c>
      <c r="C108" s="120" t="s">
        <v>55</v>
      </c>
      <c r="D108" s="120" t="s">
        <v>176</v>
      </c>
      <c r="E108" s="120" t="s">
        <v>129</v>
      </c>
      <c r="F108" s="122">
        <v>45341</v>
      </c>
      <c r="G108" s="122">
        <v>45362</v>
      </c>
      <c r="H108" s="120">
        <f t="shared" si="12"/>
        <v>21</v>
      </c>
      <c r="I108" s="120" t="str">
        <f t="shared" si="13"/>
        <v>In Progress</v>
      </c>
      <c r="J108" s="123">
        <v>0.75</v>
      </c>
      <c r="K108" s="120" t="s">
        <v>73</v>
      </c>
      <c r="L108" s="124">
        <v>5000</v>
      </c>
      <c r="M108" s="120">
        <v>80</v>
      </c>
      <c r="N108" s="124">
        <f t="shared" si="14"/>
        <v>105000</v>
      </c>
      <c r="O108" s="120" t="s">
        <v>108</v>
      </c>
      <c r="P108" s="120" t="str">
        <f t="shared" si="15"/>
        <v>In Progress</v>
      </c>
      <c r="Q108" s="120"/>
      <c r="R108" s="120"/>
    </row>
    <row r="109" spans="1:18" ht="15" customHeight="1" x14ac:dyDescent="0.25">
      <c r="A109" s="120">
        <v>106</v>
      </c>
      <c r="B109" s="121" t="s">
        <v>70</v>
      </c>
      <c r="C109" s="120" t="s">
        <v>67</v>
      </c>
      <c r="D109" s="120" t="s">
        <v>116</v>
      </c>
      <c r="E109" s="120" t="s">
        <v>103</v>
      </c>
      <c r="F109" s="122">
        <v>45310</v>
      </c>
      <c r="G109" s="122">
        <v>45317</v>
      </c>
      <c r="H109" s="120">
        <f t="shared" si="12"/>
        <v>7</v>
      </c>
      <c r="I109" s="120" t="str">
        <f t="shared" si="13"/>
        <v>Not Started</v>
      </c>
      <c r="J109" s="123">
        <v>0</v>
      </c>
      <c r="K109" s="120" t="s">
        <v>106</v>
      </c>
      <c r="L109" s="124">
        <v>3500</v>
      </c>
      <c r="M109" s="120">
        <v>120</v>
      </c>
      <c r="N109" s="124">
        <f t="shared" si="14"/>
        <v>24500</v>
      </c>
      <c r="O109" s="120" t="s">
        <v>186</v>
      </c>
      <c r="P109" s="120" t="str">
        <f t="shared" si="15"/>
        <v>Not Started</v>
      </c>
      <c r="Q109" s="120"/>
      <c r="R109" s="120"/>
    </row>
    <row r="110" spans="1:18" ht="15" customHeight="1" x14ac:dyDescent="0.25">
      <c r="A110" s="125">
        <v>107</v>
      </c>
      <c r="B110" s="126" t="s">
        <v>74</v>
      </c>
      <c r="C110" s="125" t="s">
        <v>77</v>
      </c>
      <c r="D110" s="125" t="s">
        <v>116</v>
      </c>
      <c r="E110" s="125" t="s">
        <v>191</v>
      </c>
      <c r="F110" s="127">
        <v>45401</v>
      </c>
      <c r="G110" s="127">
        <v>45429</v>
      </c>
      <c r="H110" s="125">
        <f t="shared" si="12"/>
        <v>28</v>
      </c>
      <c r="I110" s="125" t="str">
        <f t="shared" si="13"/>
        <v>Not Started</v>
      </c>
      <c r="J110" s="128">
        <v>0</v>
      </c>
      <c r="K110" s="125" t="s">
        <v>106</v>
      </c>
      <c r="L110" s="129">
        <v>5000</v>
      </c>
      <c r="M110" s="125">
        <v>60</v>
      </c>
      <c r="N110" s="129">
        <f t="shared" si="14"/>
        <v>140000</v>
      </c>
      <c r="O110" s="125" t="s">
        <v>108</v>
      </c>
      <c r="P110" s="125" t="str">
        <f t="shared" si="15"/>
        <v>Not Started</v>
      </c>
      <c r="Q110" s="125"/>
      <c r="R110" s="125"/>
    </row>
    <row r="111" spans="1:18" ht="15" customHeight="1" x14ac:dyDescent="0.25">
      <c r="A111" s="115">
        <v>108</v>
      </c>
      <c r="B111" s="116" t="s">
        <v>78</v>
      </c>
      <c r="C111" s="115" t="s">
        <v>86</v>
      </c>
      <c r="D111" s="115" t="s">
        <v>102</v>
      </c>
      <c r="E111" s="115" t="s">
        <v>230</v>
      </c>
      <c r="F111" s="117">
        <v>45298</v>
      </c>
      <c r="G111" s="117">
        <v>45312</v>
      </c>
      <c r="H111" s="115">
        <f t="shared" si="12"/>
        <v>14</v>
      </c>
      <c r="I111" s="115" t="str">
        <f t="shared" si="13"/>
        <v>In Progress</v>
      </c>
      <c r="J111" s="118">
        <v>1</v>
      </c>
      <c r="K111" s="115" t="s">
        <v>56</v>
      </c>
      <c r="L111" s="119">
        <v>2000</v>
      </c>
      <c r="M111" s="115">
        <v>100</v>
      </c>
      <c r="N111" s="119">
        <f t="shared" si="14"/>
        <v>28000</v>
      </c>
      <c r="O111" s="115" t="s">
        <v>108</v>
      </c>
      <c r="P111" s="115" t="str">
        <f t="shared" si="15"/>
        <v>In Progress</v>
      </c>
      <c r="Q111" s="115"/>
      <c r="R111" s="115"/>
    </row>
    <row r="112" spans="1:18" ht="15" customHeight="1" x14ac:dyDescent="0.25">
      <c r="A112" s="115">
        <v>109</v>
      </c>
      <c r="B112" s="116" t="s">
        <v>80</v>
      </c>
      <c r="C112" s="115" t="s">
        <v>55</v>
      </c>
      <c r="D112" s="115" t="s">
        <v>102</v>
      </c>
      <c r="E112" s="115" t="s">
        <v>146</v>
      </c>
      <c r="F112" s="117">
        <v>45414</v>
      </c>
      <c r="G112" s="117">
        <v>45421</v>
      </c>
      <c r="H112" s="115">
        <f t="shared" si="12"/>
        <v>7</v>
      </c>
      <c r="I112" s="115" t="str">
        <f t="shared" si="13"/>
        <v>In Progress</v>
      </c>
      <c r="J112" s="118">
        <v>0.4</v>
      </c>
      <c r="K112" s="115" t="s">
        <v>56</v>
      </c>
      <c r="L112" s="119">
        <v>3000</v>
      </c>
      <c r="M112" s="115">
        <v>140</v>
      </c>
      <c r="N112" s="119">
        <f t="shared" si="14"/>
        <v>21000</v>
      </c>
      <c r="O112" s="115" t="s">
        <v>108</v>
      </c>
      <c r="P112" s="115" t="str">
        <f t="shared" si="15"/>
        <v>In Progress</v>
      </c>
      <c r="Q112" s="115"/>
      <c r="R112" s="115"/>
    </row>
    <row r="113" spans="1:18" ht="15" customHeight="1" x14ac:dyDescent="0.25">
      <c r="A113" s="115">
        <v>110</v>
      </c>
      <c r="B113" s="116" t="s">
        <v>83</v>
      </c>
      <c r="C113" s="115" t="s">
        <v>67</v>
      </c>
      <c r="D113" s="115" t="s">
        <v>201</v>
      </c>
      <c r="E113" s="115" t="s">
        <v>129</v>
      </c>
      <c r="F113" s="117">
        <v>45300</v>
      </c>
      <c r="G113" s="117">
        <v>45307</v>
      </c>
      <c r="H113" s="115">
        <f t="shared" si="12"/>
        <v>7</v>
      </c>
      <c r="I113" s="115" t="str">
        <f t="shared" si="13"/>
        <v>In Progress</v>
      </c>
      <c r="J113" s="118">
        <v>1</v>
      </c>
      <c r="K113" s="115" t="s">
        <v>63</v>
      </c>
      <c r="L113" s="119">
        <v>2000</v>
      </c>
      <c r="M113" s="115">
        <v>160</v>
      </c>
      <c r="N113" s="119">
        <f t="shared" si="14"/>
        <v>14000</v>
      </c>
      <c r="O113" s="115" t="s">
        <v>186</v>
      </c>
      <c r="P113" s="115" t="str">
        <f t="shared" si="15"/>
        <v>In Progress</v>
      </c>
      <c r="Q113" s="115"/>
      <c r="R113" s="115"/>
    </row>
    <row r="114" spans="1:18" ht="15" customHeight="1" x14ac:dyDescent="0.25">
      <c r="A114" s="115">
        <v>111</v>
      </c>
      <c r="B114" s="116" t="s">
        <v>52</v>
      </c>
      <c r="C114" s="115" t="s">
        <v>77</v>
      </c>
      <c r="D114" s="115" t="s">
        <v>128</v>
      </c>
      <c r="E114" s="115" t="s">
        <v>103</v>
      </c>
      <c r="F114" s="117">
        <v>45421</v>
      </c>
      <c r="G114" s="117">
        <v>45442</v>
      </c>
      <c r="H114" s="115">
        <f t="shared" si="12"/>
        <v>21</v>
      </c>
      <c r="I114" s="115" t="str">
        <f t="shared" si="13"/>
        <v>Not Started</v>
      </c>
      <c r="J114" s="118">
        <v>0</v>
      </c>
      <c r="K114" s="115" t="s">
        <v>56</v>
      </c>
      <c r="L114" s="119">
        <v>3000</v>
      </c>
      <c r="M114" s="115">
        <v>60</v>
      </c>
      <c r="N114" s="119">
        <f t="shared" si="14"/>
        <v>63000</v>
      </c>
      <c r="O114" s="115" t="s">
        <v>108</v>
      </c>
      <c r="P114" s="115" t="str">
        <f t="shared" si="15"/>
        <v>Not Started</v>
      </c>
      <c r="Q114" s="115"/>
      <c r="R114" s="115"/>
    </row>
    <row r="115" spans="1:18" ht="15" customHeight="1" x14ac:dyDescent="0.25">
      <c r="A115" s="120">
        <v>112</v>
      </c>
      <c r="B115" s="121" t="s">
        <v>57</v>
      </c>
      <c r="C115" s="120" t="s">
        <v>86</v>
      </c>
      <c r="D115" s="120" t="s">
        <v>261</v>
      </c>
      <c r="E115" s="120" t="s">
        <v>191</v>
      </c>
      <c r="F115" s="122">
        <v>45361</v>
      </c>
      <c r="G115" s="122">
        <v>45375</v>
      </c>
      <c r="H115" s="120">
        <f t="shared" si="12"/>
        <v>14</v>
      </c>
      <c r="I115" s="120" t="str">
        <f t="shared" si="13"/>
        <v>In Progress</v>
      </c>
      <c r="J115" s="123">
        <v>1</v>
      </c>
      <c r="K115" s="120" t="s">
        <v>56</v>
      </c>
      <c r="L115" s="124">
        <v>5500</v>
      </c>
      <c r="M115" s="120">
        <v>80</v>
      </c>
      <c r="N115" s="124">
        <f t="shared" si="14"/>
        <v>77000</v>
      </c>
      <c r="O115" s="120" t="s">
        <v>194</v>
      </c>
      <c r="P115" s="120" t="str">
        <f t="shared" si="15"/>
        <v>In Progress</v>
      </c>
      <c r="Q115" s="120"/>
      <c r="R115" s="120"/>
    </row>
    <row r="116" spans="1:18" ht="15" customHeight="1" x14ac:dyDescent="0.25">
      <c r="A116" s="115">
        <v>113</v>
      </c>
      <c r="B116" s="116" t="s">
        <v>60</v>
      </c>
      <c r="C116" s="115" t="s">
        <v>55</v>
      </c>
      <c r="D116" s="115" t="s">
        <v>261</v>
      </c>
      <c r="E116" s="115" t="s">
        <v>230</v>
      </c>
      <c r="F116" s="117">
        <v>45420</v>
      </c>
      <c r="G116" s="117">
        <v>45448</v>
      </c>
      <c r="H116" s="115">
        <f t="shared" si="12"/>
        <v>28</v>
      </c>
      <c r="I116" s="115" t="str">
        <f t="shared" si="13"/>
        <v>In Progress</v>
      </c>
      <c r="J116" s="118">
        <v>0.75</v>
      </c>
      <c r="K116" s="115" t="s">
        <v>106</v>
      </c>
      <c r="L116" s="119">
        <v>5000</v>
      </c>
      <c r="M116" s="115">
        <v>140</v>
      </c>
      <c r="N116" s="119">
        <f t="shared" si="14"/>
        <v>140000</v>
      </c>
      <c r="O116" s="115" t="s">
        <v>186</v>
      </c>
      <c r="P116" s="115" t="str">
        <f t="shared" si="15"/>
        <v>In Progress</v>
      </c>
      <c r="Q116" s="115"/>
      <c r="R116" s="115"/>
    </row>
    <row r="117" spans="1:18" ht="15" customHeight="1" x14ac:dyDescent="0.25">
      <c r="A117" s="120">
        <v>114</v>
      </c>
      <c r="B117" s="121" t="s">
        <v>64</v>
      </c>
      <c r="C117" s="120" t="s">
        <v>67</v>
      </c>
      <c r="D117" s="120" t="s">
        <v>140</v>
      </c>
      <c r="E117" s="120" t="s">
        <v>146</v>
      </c>
      <c r="F117" s="122">
        <v>45408</v>
      </c>
      <c r="G117" s="122">
        <v>45422</v>
      </c>
      <c r="H117" s="120">
        <f t="shared" si="12"/>
        <v>14</v>
      </c>
      <c r="I117" s="120" t="str">
        <f t="shared" si="13"/>
        <v>In Progress</v>
      </c>
      <c r="J117" s="123">
        <v>0.65</v>
      </c>
      <c r="K117" s="120" t="s">
        <v>73</v>
      </c>
      <c r="L117" s="124">
        <v>4000</v>
      </c>
      <c r="M117" s="120">
        <v>60</v>
      </c>
      <c r="N117" s="124">
        <f t="shared" si="14"/>
        <v>56000</v>
      </c>
      <c r="O117" s="120" t="s">
        <v>108</v>
      </c>
      <c r="P117" s="120" t="str">
        <f t="shared" si="15"/>
        <v>In Progress</v>
      </c>
      <c r="Q117" s="120"/>
      <c r="R117" s="120"/>
    </row>
    <row r="118" spans="1:18" ht="15" customHeight="1" x14ac:dyDescent="0.25">
      <c r="A118" s="120">
        <v>115</v>
      </c>
      <c r="B118" s="121" t="s">
        <v>68</v>
      </c>
      <c r="C118" s="120" t="s">
        <v>77</v>
      </c>
      <c r="D118" s="120" t="s">
        <v>237</v>
      </c>
      <c r="E118" s="120" t="s">
        <v>129</v>
      </c>
      <c r="F118" s="122">
        <v>45441</v>
      </c>
      <c r="G118" s="122">
        <v>45451</v>
      </c>
      <c r="H118" s="120">
        <f t="shared" si="12"/>
        <v>10</v>
      </c>
      <c r="I118" s="120" t="str">
        <f t="shared" si="13"/>
        <v>In Progress</v>
      </c>
      <c r="J118" s="123">
        <v>0.4</v>
      </c>
      <c r="K118" s="120" t="s">
        <v>73</v>
      </c>
      <c r="L118" s="124">
        <v>4200</v>
      </c>
      <c r="M118" s="120">
        <v>80</v>
      </c>
      <c r="N118" s="124">
        <f t="shared" si="14"/>
        <v>42000</v>
      </c>
      <c r="O118" s="120" t="s">
        <v>186</v>
      </c>
      <c r="P118" s="120" t="str">
        <f t="shared" si="15"/>
        <v>In Progress</v>
      </c>
      <c r="Q118" s="120"/>
      <c r="R118" s="120"/>
    </row>
    <row r="119" spans="1:18" ht="15" customHeight="1" x14ac:dyDescent="0.25">
      <c r="A119" s="120">
        <v>116</v>
      </c>
      <c r="B119" s="121" t="s">
        <v>70</v>
      </c>
      <c r="C119" s="120" t="s">
        <v>86</v>
      </c>
      <c r="D119" s="120" t="s">
        <v>302</v>
      </c>
      <c r="E119" s="120" t="s">
        <v>103</v>
      </c>
      <c r="F119" s="122">
        <v>45362</v>
      </c>
      <c r="G119" s="122">
        <v>45374</v>
      </c>
      <c r="H119" s="120">
        <f t="shared" si="12"/>
        <v>12</v>
      </c>
      <c r="I119" s="120" t="str">
        <f t="shared" si="13"/>
        <v>In Progress</v>
      </c>
      <c r="J119" s="123">
        <v>1</v>
      </c>
      <c r="K119" s="120" t="s">
        <v>63</v>
      </c>
      <c r="L119" s="124">
        <v>4000</v>
      </c>
      <c r="M119" s="120">
        <v>80</v>
      </c>
      <c r="N119" s="124">
        <f t="shared" si="14"/>
        <v>48000</v>
      </c>
      <c r="O119" s="120" t="s">
        <v>169</v>
      </c>
      <c r="P119" s="120" t="str">
        <f t="shared" si="15"/>
        <v>In Progress</v>
      </c>
      <c r="Q119" s="120"/>
      <c r="R119" s="120"/>
    </row>
    <row r="120" spans="1:18" ht="15" customHeight="1" x14ac:dyDescent="0.25">
      <c r="A120" s="125">
        <v>117</v>
      </c>
      <c r="B120" s="126" t="s">
        <v>74</v>
      </c>
      <c r="C120" s="125" t="s">
        <v>55</v>
      </c>
      <c r="D120" s="125" t="s">
        <v>154</v>
      </c>
      <c r="E120" s="125" t="s">
        <v>191</v>
      </c>
      <c r="F120" s="127">
        <v>45403</v>
      </c>
      <c r="G120" s="127">
        <v>45415</v>
      </c>
      <c r="H120" s="125">
        <f t="shared" si="12"/>
        <v>12</v>
      </c>
      <c r="I120" s="125" t="str">
        <f t="shared" si="13"/>
        <v>In Progress</v>
      </c>
      <c r="J120" s="128">
        <v>0.5</v>
      </c>
      <c r="K120" s="125" t="s">
        <v>56</v>
      </c>
      <c r="L120" s="129">
        <v>4200</v>
      </c>
      <c r="M120" s="125">
        <v>140</v>
      </c>
      <c r="N120" s="129">
        <f t="shared" si="14"/>
        <v>50400</v>
      </c>
      <c r="O120" s="125" t="s">
        <v>108</v>
      </c>
      <c r="P120" s="125" t="str">
        <f t="shared" si="15"/>
        <v>In Progress</v>
      </c>
      <c r="Q120" s="125"/>
      <c r="R120" s="125"/>
    </row>
    <row r="121" spans="1:18" ht="15" customHeight="1" x14ac:dyDescent="0.25">
      <c r="A121" s="115">
        <v>118</v>
      </c>
      <c r="B121" s="116" t="s">
        <v>78</v>
      </c>
      <c r="C121" s="115" t="s">
        <v>67</v>
      </c>
      <c r="D121" s="115" t="s">
        <v>164</v>
      </c>
      <c r="E121" s="115" t="s">
        <v>230</v>
      </c>
      <c r="F121" s="117">
        <v>45394</v>
      </c>
      <c r="G121" s="117">
        <v>45408</v>
      </c>
      <c r="H121" s="115">
        <f t="shared" si="12"/>
        <v>14</v>
      </c>
      <c r="I121" s="115" t="str">
        <f t="shared" si="13"/>
        <v>In Progress</v>
      </c>
      <c r="J121" s="118">
        <v>0.4</v>
      </c>
      <c r="K121" s="115" t="s">
        <v>56</v>
      </c>
      <c r="L121" s="119">
        <v>5000</v>
      </c>
      <c r="M121" s="115">
        <v>80</v>
      </c>
      <c r="N121" s="119">
        <f t="shared" si="14"/>
        <v>70000</v>
      </c>
      <c r="O121" s="115" t="s">
        <v>175</v>
      </c>
      <c r="P121" s="115" t="str">
        <f t="shared" si="15"/>
        <v>In Progress</v>
      </c>
      <c r="Q121" s="115"/>
      <c r="R121" s="115"/>
    </row>
    <row r="122" spans="1:18" ht="15" customHeight="1" x14ac:dyDescent="0.25">
      <c r="A122" s="115">
        <v>119</v>
      </c>
      <c r="B122" s="116" t="s">
        <v>80</v>
      </c>
      <c r="C122" s="115" t="s">
        <v>77</v>
      </c>
      <c r="D122" s="115" t="s">
        <v>164</v>
      </c>
      <c r="E122" s="115" t="s">
        <v>146</v>
      </c>
      <c r="F122" s="117">
        <v>45364</v>
      </c>
      <c r="G122" s="117">
        <v>45376</v>
      </c>
      <c r="H122" s="115">
        <f t="shared" si="12"/>
        <v>12</v>
      </c>
      <c r="I122" s="115" t="str">
        <f t="shared" si="13"/>
        <v>Not Started</v>
      </c>
      <c r="J122" s="118">
        <v>0</v>
      </c>
      <c r="K122" s="115" t="s">
        <v>56</v>
      </c>
      <c r="L122" s="119">
        <v>4200</v>
      </c>
      <c r="M122" s="115">
        <v>80</v>
      </c>
      <c r="N122" s="119">
        <f t="shared" si="14"/>
        <v>50400</v>
      </c>
      <c r="O122" s="115" t="s">
        <v>186</v>
      </c>
      <c r="P122" s="115" t="str">
        <f t="shared" si="15"/>
        <v>Not Started</v>
      </c>
      <c r="Q122" s="115"/>
      <c r="R122" s="115"/>
    </row>
    <row r="123" spans="1:18" ht="15" customHeight="1" x14ac:dyDescent="0.25">
      <c r="A123" s="120">
        <v>120</v>
      </c>
      <c r="B123" s="121" t="s">
        <v>83</v>
      </c>
      <c r="C123" s="120" t="s">
        <v>86</v>
      </c>
      <c r="D123" s="120" t="s">
        <v>164</v>
      </c>
      <c r="E123" s="120" t="s">
        <v>129</v>
      </c>
      <c r="F123" s="122">
        <v>45386</v>
      </c>
      <c r="G123" s="122">
        <v>45398</v>
      </c>
      <c r="H123" s="120">
        <f t="shared" si="12"/>
        <v>12</v>
      </c>
      <c r="I123" s="120" t="str">
        <f t="shared" si="13"/>
        <v>In Progress</v>
      </c>
      <c r="J123" s="123">
        <v>0.5</v>
      </c>
      <c r="K123" s="120" t="s">
        <v>63</v>
      </c>
      <c r="L123" s="124">
        <v>4200</v>
      </c>
      <c r="M123" s="120">
        <v>80</v>
      </c>
      <c r="N123" s="124">
        <f t="shared" si="14"/>
        <v>50400</v>
      </c>
      <c r="O123" s="120" t="s">
        <v>175</v>
      </c>
      <c r="P123" s="120" t="str">
        <f t="shared" si="15"/>
        <v>In Progress</v>
      </c>
      <c r="Q123" s="120"/>
      <c r="R123" s="120"/>
    </row>
    <row r="124" spans="1:18" ht="15" customHeight="1" x14ac:dyDescent="0.25"/>
    <row r="125" spans="1:18" ht="15" customHeight="1" x14ac:dyDescent="0.25"/>
    <row r="126" spans="1:18" ht="15" customHeight="1" x14ac:dyDescent="0.25"/>
    <row r="127" spans="1:18" ht="15" customHeight="1" x14ac:dyDescent="0.25"/>
    <row r="128" spans="1:1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</sheetData>
  <autoFilter ref="A3:P153" xr:uid="{00000000-0009-0000-0000-000003000000}"/>
  <mergeCells count="1">
    <mergeCell ref="A1:P1"/>
  </mergeCells>
  <hyperlinks>
    <hyperlink ref="P2" location="'Project Overview'!A1" display="← Back to Project Overview" xr:uid="{00000000-0004-0000-03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1"/>
  <sheetViews>
    <sheetView showGridLines="0" zoomScale="70" zoomScaleNormal="70" workbookViewId="0">
      <selection sqref="A1:AE1"/>
    </sheetView>
  </sheetViews>
  <sheetFormatPr defaultColWidth="8.7109375" defaultRowHeight="15" x14ac:dyDescent="0.25"/>
  <cols>
    <col min="1" max="1" width="6.85546875" customWidth="1"/>
    <col min="2" max="2" width="39.5703125" customWidth="1"/>
    <col min="3" max="3" width="18.5703125" customWidth="1"/>
    <col min="4" max="4" width="19.28515625" customWidth="1"/>
    <col min="5" max="5" width="18.28515625" customWidth="1"/>
    <col min="6" max="6" width="13.28515625" customWidth="1"/>
    <col min="7" max="7" width="13.85546875" customWidth="1"/>
    <col min="8" max="8" width="13" customWidth="1"/>
    <col min="9" max="9" width="7" customWidth="1"/>
    <col min="10" max="10" width="16" customWidth="1"/>
    <col min="11" max="11" width="11.7109375" customWidth="1"/>
    <col min="12" max="35" width="4.140625" customWidth="1"/>
  </cols>
  <sheetData>
    <row r="1" spans="1:35" ht="31.5" customHeight="1" x14ac:dyDescent="0.25">
      <c r="A1" s="190" t="s">
        <v>348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5"/>
      <c r="AG1" s="15"/>
      <c r="AH1" s="15"/>
      <c r="AI1" s="15"/>
    </row>
    <row r="2" spans="1:35" ht="18" customHeight="1" x14ac:dyDescent="0.35">
      <c r="A2" s="16"/>
      <c r="B2" s="17"/>
      <c r="C2" s="17"/>
      <c r="D2" s="17"/>
      <c r="E2" s="18" t="s">
        <v>88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5" ht="25.5" customHeight="1" x14ac:dyDescent="0.25">
      <c r="A3" s="19" t="s">
        <v>89</v>
      </c>
      <c r="B3" s="19" t="s">
        <v>90</v>
      </c>
      <c r="C3" s="19" t="s">
        <v>49</v>
      </c>
      <c r="D3" s="19" t="s">
        <v>349</v>
      </c>
      <c r="E3" s="19" t="s">
        <v>350</v>
      </c>
      <c r="F3" s="19" t="s">
        <v>351</v>
      </c>
      <c r="G3" s="19" t="s">
        <v>352</v>
      </c>
      <c r="H3" s="19" t="s">
        <v>51</v>
      </c>
      <c r="I3" s="19" t="s">
        <v>353</v>
      </c>
      <c r="J3" s="19" t="s">
        <v>50</v>
      </c>
      <c r="K3" s="191" t="s">
        <v>354</v>
      </c>
      <c r="L3" s="191"/>
      <c r="M3" s="191"/>
      <c r="N3" s="191"/>
      <c r="O3" s="191" t="s">
        <v>355</v>
      </c>
      <c r="P3" s="191"/>
      <c r="Q3" s="191"/>
      <c r="R3" s="191"/>
      <c r="S3" s="192" t="s">
        <v>356</v>
      </c>
      <c r="T3" s="192"/>
      <c r="U3" s="192"/>
      <c r="V3" s="192"/>
      <c r="W3" s="192" t="s">
        <v>357</v>
      </c>
      <c r="X3" s="192"/>
      <c r="Y3" s="192"/>
      <c r="Z3" s="192"/>
      <c r="AA3" s="193" t="s">
        <v>358</v>
      </c>
      <c r="AB3" s="193"/>
      <c r="AC3" s="193"/>
      <c r="AD3" s="193"/>
      <c r="AE3" s="193" t="s">
        <v>359</v>
      </c>
      <c r="AF3" s="193"/>
      <c r="AG3" s="193"/>
      <c r="AH3" s="193"/>
      <c r="AI3" s="193"/>
    </row>
    <row r="4" spans="1:35" ht="15" customHeight="1" x14ac:dyDescent="0.25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20" t="s">
        <v>360</v>
      </c>
      <c r="L4" s="20" t="s">
        <v>361</v>
      </c>
      <c r="M4" s="20" t="s">
        <v>362</v>
      </c>
      <c r="N4" s="20" t="s">
        <v>363</v>
      </c>
      <c r="O4" s="20" t="s">
        <v>360</v>
      </c>
      <c r="P4" s="20" t="s">
        <v>361</v>
      </c>
      <c r="Q4" s="20" t="s">
        <v>362</v>
      </c>
      <c r="R4" s="20" t="s">
        <v>363</v>
      </c>
      <c r="S4" s="21" t="s">
        <v>360</v>
      </c>
      <c r="T4" s="21" t="s">
        <v>361</v>
      </c>
      <c r="U4" s="21" t="s">
        <v>362</v>
      </c>
      <c r="V4" s="21" t="s">
        <v>363</v>
      </c>
      <c r="W4" s="21" t="s">
        <v>360</v>
      </c>
      <c r="X4" s="21" t="s">
        <v>361</v>
      </c>
      <c r="Y4" s="21" t="s">
        <v>362</v>
      </c>
      <c r="Z4" s="21" t="s">
        <v>363</v>
      </c>
      <c r="AA4" s="22" t="s">
        <v>360</v>
      </c>
      <c r="AB4" s="22" t="s">
        <v>361</v>
      </c>
      <c r="AC4" s="22" t="s">
        <v>362</v>
      </c>
      <c r="AD4" s="22" t="s">
        <v>363</v>
      </c>
      <c r="AE4" s="22" t="s">
        <v>360</v>
      </c>
      <c r="AF4" s="22" t="s">
        <v>361</v>
      </c>
      <c r="AG4" s="22" t="s">
        <v>362</v>
      </c>
      <c r="AH4" s="22" t="s">
        <v>363</v>
      </c>
    </row>
    <row r="5" spans="1:35" ht="15" customHeight="1" x14ac:dyDescent="0.25">
      <c r="A5" s="195"/>
      <c r="B5" s="195"/>
      <c r="C5" s="195"/>
      <c r="D5" s="195"/>
      <c r="E5" s="195"/>
      <c r="F5" s="195"/>
      <c r="G5" s="195"/>
      <c r="H5" s="195"/>
      <c r="I5" s="195"/>
      <c r="J5" s="195"/>
    </row>
    <row r="6" spans="1:35" ht="21.75" customHeight="1" x14ac:dyDescent="0.25">
      <c r="A6" s="23" t="s">
        <v>364</v>
      </c>
      <c r="B6" s="24"/>
      <c r="C6" s="24"/>
      <c r="D6" s="24"/>
      <c r="E6" s="24"/>
      <c r="F6" s="24"/>
      <c r="G6" s="24"/>
      <c r="H6" s="24"/>
      <c r="I6" s="24"/>
      <c r="J6" s="24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</row>
    <row r="7" spans="1:35" ht="21.75" customHeight="1" x14ac:dyDescent="0.25">
      <c r="A7" s="69">
        <v>1</v>
      </c>
      <c r="B7" s="25" t="s">
        <v>52</v>
      </c>
      <c r="C7" s="69" t="s">
        <v>55</v>
      </c>
      <c r="D7" s="69" t="s">
        <v>176</v>
      </c>
      <c r="E7" s="26">
        <v>45292</v>
      </c>
      <c r="F7" s="26">
        <v>45306</v>
      </c>
      <c r="G7" s="69">
        <v>14</v>
      </c>
      <c r="H7" s="27" t="s">
        <v>3</v>
      </c>
      <c r="I7" s="28">
        <v>1</v>
      </c>
      <c r="J7" s="69" t="s">
        <v>56</v>
      </c>
      <c r="K7" s="29"/>
      <c r="L7" s="29"/>
      <c r="M7" s="29"/>
      <c r="N7" s="131"/>
      <c r="O7" s="30"/>
      <c r="P7" s="131"/>
      <c r="Q7" s="30"/>
      <c r="R7" s="131"/>
      <c r="S7" s="30"/>
      <c r="T7" s="131"/>
      <c r="U7" s="30"/>
      <c r="V7" s="131"/>
      <c r="W7" s="30"/>
      <c r="X7" s="131"/>
      <c r="Y7" s="30"/>
      <c r="Z7" s="131"/>
      <c r="AA7" s="30"/>
      <c r="AB7" s="131"/>
      <c r="AC7" s="30"/>
      <c r="AD7" s="131"/>
      <c r="AE7" s="30"/>
      <c r="AF7" s="131"/>
      <c r="AG7" s="30"/>
      <c r="AH7" s="131"/>
      <c r="AI7" s="132"/>
    </row>
    <row r="8" spans="1:35" ht="21.75" customHeight="1" x14ac:dyDescent="0.25">
      <c r="A8" s="69">
        <v>2</v>
      </c>
      <c r="B8" s="25" t="s">
        <v>57</v>
      </c>
      <c r="C8" s="69" t="s">
        <v>55</v>
      </c>
      <c r="D8" s="69" t="s">
        <v>187</v>
      </c>
      <c r="E8" s="26">
        <v>45299</v>
      </c>
      <c r="F8" s="26">
        <v>45309</v>
      </c>
      <c r="G8" s="69">
        <v>10</v>
      </c>
      <c r="H8" s="27" t="s">
        <v>3</v>
      </c>
      <c r="I8" s="28">
        <v>1</v>
      </c>
      <c r="J8" s="69" t="s">
        <v>56</v>
      </c>
      <c r="K8" s="30"/>
      <c r="L8" s="29"/>
      <c r="M8" s="29"/>
      <c r="N8" s="131"/>
      <c r="O8" s="30"/>
      <c r="P8" s="131"/>
      <c r="Q8" s="30"/>
      <c r="R8" s="131"/>
      <c r="S8" s="30"/>
      <c r="T8" s="131"/>
      <c r="U8" s="30"/>
      <c r="V8" s="131"/>
      <c r="W8" s="30"/>
      <c r="X8" s="131"/>
      <c r="Y8" s="30"/>
      <c r="Z8" s="131"/>
      <c r="AA8" s="30"/>
      <c r="AB8" s="131"/>
      <c r="AC8" s="30"/>
      <c r="AD8" s="131"/>
      <c r="AE8" s="30"/>
      <c r="AF8" s="131"/>
      <c r="AG8" s="30"/>
      <c r="AH8" s="131"/>
      <c r="AI8" s="133"/>
    </row>
    <row r="9" spans="1:35" ht="21.75" customHeight="1" x14ac:dyDescent="0.25">
      <c r="A9" s="196">
        <v>3</v>
      </c>
      <c r="B9" s="196"/>
      <c r="C9" s="196"/>
      <c r="D9" s="196"/>
      <c r="E9" s="196"/>
      <c r="F9" s="196"/>
      <c r="G9" s="196"/>
      <c r="H9" s="196"/>
      <c r="I9" s="196"/>
      <c r="J9" s="196"/>
      <c r="K9" s="30"/>
      <c r="L9" s="131"/>
      <c r="M9" s="29"/>
      <c r="N9" s="29"/>
      <c r="O9" s="30"/>
      <c r="P9" s="131"/>
      <c r="Q9" s="30"/>
      <c r="R9" s="131"/>
      <c r="S9" s="30"/>
      <c r="T9" s="131"/>
      <c r="U9" s="30"/>
      <c r="V9" s="131"/>
      <c r="W9" s="30"/>
      <c r="X9" s="131"/>
      <c r="Y9" s="30"/>
      <c r="Z9" s="131"/>
      <c r="AA9" s="30"/>
      <c r="AB9" s="131"/>
      <c r="AC9" s="30"/>
      <c r="AD9" s="131"/>
      <c r="AE9" s="30"/>
      <c r="AF9" s="131"/>
      <c r="AG9" s="30"/>
      <c r="AH9" s="131"/>
      <c r="AI9" s="132"/>
    </row>
    <row r="10" spans="1:35" ht="21.75" customHeight="1" x14ac:dyDescent="0.25">
      <c r="A10" s="31" t="s">
        <v>365</v>
      </c>
      <c r="B10" s="32"/>
      <c r="C10" s="32"/>
      <c r="D10" s="32"/>
      <c r="E10" s="32"/>
      <c r="F10" s="32"/>
      <c r="G10" s="32"/>
      <c r="H10" s="32"/>
      <c r="I10" s="32"/>
      <c r="J10" s="32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</row>
    <row r="11" spans="1:35" ht="21.75" customHeight="1" x14ac:dyDescent="0.25">
      <c r="A11" s="70">
        <v>4</v>
      </c>
      <c r="B11" s="33" t="s">
        <v>64</v>
      </c>
      <c r="C11" s="70" t="s">
        <v>67</v>
      </c>
      <c r="D11" s="70" t="s">
        <v>116</v>
      </c>
      <c r="E11" s="34">
        <v>45320</v>
      </c>
      <c r="F11" s="34">
        <v>45334</v>
      </c>
      <c r="G11" s="70">
        <v>14</v>
      </c>
      <c r="H11" s="27" t="s">
        <v>3</v>
      </c>
      <c r="I11" s="35">
        <v>1</v>
      </c>
      <c r="J11" s="70" t="s">
        <v>56</v>
      </c>
      <c r="K11" s="30"/>
      <c r="L11" s="131"/>
      <c r="M11" s="30"/>
      <c r="N11" s="131"/>
      <c r="O11" s="36"/>
      <c r="P11" s="36"/>
      <c r="Q11" s="36"/>
      <c r="R11" s="131"/>
      <c r="S11" s="30"/>
      <c r="T11" s="131"/>
      <c r="U11" s="30"/>
      <c r="V11" s="131"/>
      <c r="W11" s="30"/>
      <c r="X11" s="131"/>
      <c r="Y11" s="30"/>
      <c r="Z11" s="131"/>
      <c r="AA11" s="30"/>
      <c r="AB11" s="131"/>
      <c r="AC11" s="30"/>
      <c r="AD11" s="131"/>
      <c r="AE11" s="30"/>
      <c r="AF11" s="131"/>
      <c r="AG11" s="30"/>
      <c r="AH11" s="131"/>
      <c r="AI11" s="132"/>
    </row>
    <row r="12" spans="1:35" ht="21.75" customHeight="1" x14ac:dyDescent="0.25">
      <c r="A12" s="70">
        <v>5</v>
      </c>
      <c r="B12" s="33" t="s">
        <v>68</v>
      </c>
      <c r="C12" s="70" t="s">
        <v>67</v>
      </c>
      <c r="D12" s="70" t="s">
        <v>102</v>
      </c>
      <c r="E12" s="34">
        <v>45327</v>
      </c>
      <c r="F12" s="34">
        <v>45341</v>
      </c>
      <c r="G12" s="70">
        <v>14</v>
      </c>
      <c r="H12" s="27" t="s">
        <v>3</v>
      </c>
      <c r="I12" s="35">
        <v>1</v>
      </c>
      <c r="J12" s="70" t="s">
        <v>63</v>
      </c>
      <c r="K12" s="30"/>
      <c r="L12" s="131"/>
      <c r="M12" s="30"/>
      <c r="N12" s="131"/>
      <c r="O12" s="30"/>
      <c r="P12" s="36"/>
      <c r="Q12" s="36"/>
      <c r="R12" s="36"/>
      <c r="S12" s="30"/>
      <c r="T12" s="131"/>
      <c r="U12" s="30"/>
      <c r="V12" s="131"/>
      <c r="W12" s="30"/>
      <c r="X12" s="131"/>
      <c r="Y12" s="30"/>
      <c r="Z12" s="131"/>
      <c r="AA12" s="30"/>
      <c r="AB12" s="131"/>
      <c r="AC12" s="30"/>
      <c r="AD12" s="131"/>
      <c r="AE12" s="30"/>
      <c r="AF12" s="131"/>
      <c r="AG12" s="30"/>
      <c r="AH12" s="131"/>
      <c r="AI12" s="133"/>
    </row>
    <row r="13" spans="1:35" ht="21.75" customHeight="1" x14ac:dyDescent="0.25">
      <c r="A13" s="197">
        <v>6</v>
      </c>
      <c r="B13" s="197"/>
      <c r="C13" s="197"/>
      <c r="D13" s="197"/>
      <c r="E13" s="197"/>
      <c r="F13" s="197"/>
      <c r="G13" s="197"/>
      <c r="H13" s="197"/>
      <c r="I13" s="197"/>
      <c r="J13" s="197"/>
      <c r="K13" s="30"/>
      <c r="L13" s="131"/>
      <c r="M13" s="30"/>
      <c r="N13" s="131"/>
      <c r="O13" s="30"/>
      <c r="P13" s="131"/>
      <c r="Q13" s="37"/>
      <c r="R13" s="37"/>
      <c r="S13" s="30"/>
      <c r="T13" s="131"/>
      <c r="U13" s="30"/>
      <c r="V13" s="131"/>
      <c r="W13" s="30"/>
      <c r="X13" s="131"/>
      <c r="Y13" s="30"/>
      <c r="Z13" s="131"/>
      <c r="AA13" s="30"/>
      <c r="AB13" s="131"/>
      <c r="AC13" s="30"/>
      <c r="AD13" s="131"/>
      <c r="AE13" s="30"/>
      <c r="AF13" s="131"/>
      <c r="AG13" s="30"/>
      <c r="AH13" s="131"/>
      <c r="AI13" s="132"/>
    </row>
    <row r="14" spans="1:35" ht="21.75" customHeight="1" x14ac:dyDescent="0.25">
      <c r="A14" s="38" t="s">
        <v>366</v>
      </c>
      <c r="B14" s="39"/>
      <c r="C14" s="39"/>
      <c r="D14" s="39"/>
      <c r="E14" s="39"/>
      <c r="F14" s="39"/>
      <c r="G14" s="39"/>
      <c r="H14" s="39"/>
      <c r="I14" s="39"/>
      <c r="J14" s="39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</row>
    <row r="15" spans="1:35" ht="21.75" customHeight="1" x14ac:dyDescent="0.25">
      <c r="A15" s="71">
        <v>7</v>
      </c>
      <c r="B15" s="40" t="s">
        <v>74</v>
      </c>
      <c r="C15" s="71" t="s">
        <v>77</v>
      </c>
      <c r="D15" s="71" t="s">
        <v>116</v>
      </c>
      <c r="E15" s="41">
        <v>45355</v>
      </c>
      <c r="F15" s="41">
        <v>45369</v>
      </c>
      <c r="G15" s="71">
        <v>14</v>
      </c>
      <c r="H15" s="42" t="s">
        <v>4</v>
      </c>
      <c r="I15" s="43">
        <v>0.4</v>
      </c>
      <c r="J15" s="71" t="s">
        <v>56</v>
      </c>
      <c r="K15" s="30"/>
      <c r="L15" s="131"/>
      <c r="M15" s="30"/>
      <c r="N15" s="131"/>
      <c r="O15" s="30"/>
      <c r="P15" s="131"/>
      <c r="Q15" s="30"/>
      <c r="R15" s="131"/>
      <c r="S15" s="30"/>
      <c r="T15" s="44"/>
      <c r="U15" s="44"/>
      <c r="V15" s="44"/>
      <c r="W15" s="30"/>
      <c r="X15" s="131"/>
      <c r="Y15" s="30"/>
      <c r="Z15" s="131"/>
      <c r="AA15" s="30"/>
      <c r="AB15" s="131"/>
      <c r="AC15" s="30"/>
      <c r="AD15" s="131"/>
      <c r="AE15" s="30"/>
      <c r="AF15" s="131"/>
      <c r="AG15" s="30"/>
      <c r="AH15" s="131"/>
      <c r="AI15" s="132"/>
    </row>
    <row r="16" spans="1:35" ht="21.75" customHeight="1" x14ac:dyDescent="0.25">
      <c r="A16" s="71">
        <v>8</v>
      </c>
      <c r="B16" s="40" t="s">
        <v>78</v>
      </c>
      <c r="C16" s="71" t="s">
        <v>77</v>
      </c>
      <c r="D16" s="71" t="s">
        <v>237</v>
      </c>
      <c r="E16" s="41">
        <v>45362</v>
      </c>
      <c r="F16" s="41">
        <v>45376</v>
      </c>
      <c r="G16" s="71">
        <v>14</v>
      </c>
      <c r="H16" s="45" t="s">
        <v>5</v>
      </c>
      <c r="I16" s="43">
        <v>0</v>
      </c>
      <c r="J16" s="71" t="s">
        <v>63</v>
      </c>
      <c r="K16" s="30"/>
      <c r="L16" s="131"/>
      <c r="M16" s="30"/>
      <c r="N16" s="131"/>
      <c r="O16" s="30"/>
      <c r="P16" s="131"/>
      <c r="Q16" s="30"/>
      <c r="R16" s="131"/>
      <c r="S16" s="30"/>
      <c r="T16" s="131"/>
      <c r="U16" s="46"/>
      <c r="V16" s="46"/>
      <c r="W16" s="46"/>
      <c r="X16" s="131"/>
      <c r="Y16" s="30"/>
      <c r="Z16" s="131"/>
      <c r="AA16" s="30"/>
      <c r="AB16" s="131"/>
      <c r="AC16" s="30"/>
      <c r="AD16" s="131"/>
      <c r="AE16" s="30"/>
      <c r="AF16" s="131"/>
      <c r="AG16" s="30"/>
      <c r="AH16" s="131"/>
      <c r="AI16" s="133"/>
    </row>
    <row r="17" spans="1:35" ht="21.75" customHeight="1" x14ac:dyDescent="0.25">
      <c r="A17" s="198">
        <v>9</v>
      </c>
      <c r="B17" s="198"/>
      <c r="C17" s="198"/>
      <c r="D17" s="198"/>
      <c r="E17" s="198"/>
      <c r="F17" s="198"/>
      <c r="G17" s="198"/>
      <c r="H17" s="198"/>
      <c r="I17" s="198"/>
      <c r="J17" s="198"/>
      <c r="K17" s="30"/>
      <c r="L17" s="131"/>
      <c r="M17" s="30"/>
      <c r="N17" s="131"/>
      <c r="O17" s="30"/>
      <c r="P17" s="131"/>
      <c r="Q17" s="30"/>
      <c r="R17" s="131"/>
      <c r="S17" s="30"/>
      <c r="T17" s="131"/>
      <c r="U17" s="30"/>
      <c r="V17" s="46"/>
      <c r="W17" s="46"/>
      <c r="X17" s="46"/>
      <c r="Y17" s="30"/>
      <c r="Z17" s="131"/>
      <c r="AA17" s="30"/>
      <c r="AB17" s="131"/>
      <c r="AC17" s="30"/>
      <c r="AD17" s="131"/>
      <c r="AE17" s="30"/>
      <c r="AF17" s="131"/>
      <c r="AG17" s="30"/>
      <c r="AH17" s="131"/>
      <c r="AI17" s="132"/>
    </row>
    <row r="18" spans="1:35" ht="21.75" customHeight="1" x14ac:dyDescent="0.25">
      <c r="A18" s="47" t="s">
        <v>367</v>
      </c>
      <c r="B18" s="48"/>
      <c r="C18" s="48"/>
      <c r="D18" s="48"/>
      <c r="E18" s="48"/>
      <c r="F18" s="48"/>
      <c r="G18" s="48"/>
      <c r="H18" s="48"/>
      <c r="I18" s="48"/>
      <c r="J18" s="48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</row>
    <row r="19" spans="1:35" ht="21.75" customHeight="1" x14ac:dyDescent="0.25">
      <c r="A19" s="49">
        <v>10</v>
      </c>
      <c r="B19" s="50" t="s">
        <v>83</v>
      </c>
      <c r="C19" s="49" t="s">
        <v>86</v>
      </c>
      <c r="D19" s="49" t="s">
        <v>195</v>
      </c>
      <c r="E19" s="51">
        <v>45397</v>
      </c>
      <c r="F19" s="51">
        <v>45411</v>
      </c>
      <c r="G19" s="49">
        <v>14</v>
      </c>
      <c r="H19" s="45" t="s">
        <v>5</v>
      </c>
      <c r="I19" s="52">
        <v>0</v>
      </c>
      <c r="J19" s="49" t="s">
        <v>73</v>
      </c>
      <c r="K19" s="30"/>
      <c r="L19" s="131"/>
      <c r="M19" s="30"/>
      <c r="N19" s="131"/>
      <c r="O19" s="30"/>
      <c r="P19" s="131"/>
      <c r="Q19" s="30"/>
      <c r="R19" s="131"/>
      <c r="S19" s="30"/>
      <c r="T19" s="131"/>
      <c r="U19" s="30"/>
      <c r="V19" s="131"/>
      <c r="W19" s="30"/>
      <c r="X19" s="131"/>
      <c r="Y19" s="30"/>
      <c r="Z19" s="53"/>
      <c r="AA19" s="53"/>
      <c r="AB19" s="53"/>
      <c r="AC19" s="30"/>
      <c r="AD19" s="131"/>
      <c r="AE19" s="30"/>
      <c r="AF19" s="131"/>
      <c r="AG19" s="30"/>
      <c r="AH19" s="131"/>
      <c r="AI19" s="132"/>
    </row>
    <row r="20" spans="1:35" ht="15" customHeight="1" x14ac:dyDescent="0.25"/>
    <row r="21" spans="1:35" ht="19.5" customHeight="1" x14ac:dyDescent="0.25">
      <c r="A21" s="54" t="s">
        <v>368</v>
      </c>
      <c r="B21" s="55" t="s">
        <v>369</v>
      </c>
      <c r="C21" s="56" t="s">
        <v>370</v>
      </c>
      <c r="D21" s="57" t="s">
        <v>371</v>
      </c>
      <c r="E21" s="58" t="s">
        <v>372</v>
      </c>
      <c r="F21" s="59" t="s">
        <v>373</v>
      </c>
      <c r="G21" s="60" t="s">
        <v>374</v>
      </c>
      <c r="H21" s="61" t="s">
        <v>375</v>
      </c>
    </row>
  </sheetData>
  <mergeCells count="12">
    <mergeCell ref="A4:J4"/>
    <mergeCell ref="A5:J5"/>
    <mergeCell ref="A9:J9"/>
    <mergeCell ref="A13:J13"/>
    <mergeCell ref="A17:J17"/>
    <mergeCell ref="A1:AE1"/>
    <mergeCell ref="K3:N3"/>
    <mergeCell ref="O3:R3"/>
    <mergeCell ref="S3:V3"/>
    <mergeCell ref="W3:Z3"/>
    <mergeCell ref="AA3:AD3"/>
    <mergeCell ref="AE3:AI3"/>
  </mergeCells>
  <hyperlinks>
    <hyperlink ref="E2" location="'Project Overview'!A1" display="← Back to Project Overview" xr:uid="{00000000-0004-0000-04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"/>
  <sheetViews>
    <sheetView showGridLines="0" zoomScaleNormal="100" workbookViewId="0">
      <pane ySplit="3" topLeftCell="A4" activePane="bottomLeft" state="frozen"/>
      <selection pane="bottomLeft" sqref="A1:O1"/>
    </sheetView>
  </sheetViews>
  <sheetFormatPr defaultColWidth="8.7109375" defaultRowHeight="15" x14ac:dyDescent="0.25"/>
  <cols>
    <col min="1" max="2" width="14.140625" customWidth="1"/>
    <col min="3" max="3" width="22" customWidth="1"/>
    <col min="4" max="4" width="16" customWidth="1"/>
    <col min="5" max="5" width="40" customWidth="1"/>
    <col min="6" max="6" width="8" customWidth="1"/>
    <col min="8" max="9" width="7" customWidth="1"/>
    <col min="10" max="10" width="10" customWidth="1"/>
    <col min="11" max="11" width="14" customWidth="1"/>
    <col min="12" max="12" width="12" customWidth="1"/>
    <col min="13" max="14" width="14" customWidth="1"/>
    <col min="15" max="15" width="12" customWidth="1"/>
  </cols>
  <sheetData>
    <row r="1" spans="1:15" ht="25.5" customHeight="1" x14ac:dyDescent="0.25">
      <c r="A1" s="199" t="s">
        <v>376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5" ht="20.25" customHeight="1" x14ac:dyDescent="0.25">
      <c r="O2" s="14" t="s">
        <v>88</v>
      </c>
    </row>
    <row r="3" spans="1:15" ht="31.5" customHeight="1" x14ac:dyDescent="0.25">
      <c r="A3" s="108" t="s">
        <v>89</v>
      </c>
      <c r="B3" s="108" t="s">
        <v>377</v>
      </c>
      <c r="C3" s="108" t="s">
        <v>378</v>
      </c>
      <c r="D3" s="108" t="s">
        <v>92</v>
      </c>
      <c r="E3" s="108" t="s">
        <v>379</v>
      </c>
      <c r="F3" s="108" t="s">
        <v>380</v>
      </c>
      <c r="G3" s="108" t="s">
        <v>381</v>
      </c>
      <c r="H3" s="108" t="s">
        <v>382</v>
      </c>
      <c r="I3" s="108" t="s">
        <v>383</v>
      </c>
      <c r="J3" s="108" t="s">
        <v>384</v>
      </c>
      <c r="K3" s="108" t="s">
        <v>97</v>
      </c>
      <c r="L3" s="108" t="s">
        <v>385</v>
      </c>
      <c r="M3" s="108" t="s">
        <v>386</v>
      </c>
      <c r="N3" s="108" t="s">
        <v>387</v>
      </c>
      <c r="O3" s="108" t="s">
        <v>51</v>
      </c>
    </row>
    <row r="4" spans="1:15" ht="15" customHeight="1" x14ac:dyDescent="0.25">
      <c r="A4" s="137">
        <v>1</v>
      </c>
      <c r="B4" s="138" t="s">
        <v>176</v>
      </c>
      <c r="C4" s="138" t="s">
        <v>388</v>
      </c>
      <c r="D4" s="138" t="s">
        <v>103</v>
      </c>
      <c r="E4" s="139" t="s">
        <v>389</v>
      </c>
      <c r="F4" s="137">
        <v>2</v>
      </c>
      <c r="G4" s="137">
        <v>2</v>
      </c>
      <c r="H4" s="137">
        <v>1</v>
      </c>
      <c r="I4" s="137">
        <v>0</v>
      </c>
      <c r="J4" s="137">
        <f t="shared" ref="J4:J10" si="0">SUM(F4:I4)</f>
        <v>5</v>
      </c>
      <c r="K4" s="140">
        <v>3500</v>
      </c>
      <c r="L4" s="137">
        <v>168</v>
      </c>
      <c r="M4" s="141">
        <v>0.9</v>
      </c>
      <c r="N4" s="141">
        <f t="shared" ref="N4:N10" si="1">IF(L4=0,0,L4/168)</f>
        <v>1</v>
      </c>
      <c r="O4" s="137" t="s">
        <v>390</v>
      </c>
    </row>
    <row r="5" spans="1:15" ht="15" customHeight="1" x14ac:dyDescent="0.25">
      <c r="A5" s="142">
        <v>2</v>
      </c>
      <c r="B5" s="143" t="s">
        <v>187</v>
      </c>
      <c r="C5" s="143" t="s">
        <v>391</v>
      </c>
      <c r="D5" s="143" t="s">
        <v>191</v>
      </c>
      <c r="E5" s="144" t="s">
        <v>392</v>
      </c>
      <c r="F5" s="142">
        <v>1</v>
      </c>
      <c r="G5" s="142">
        <v>1</v>
      </c>
      <c r="H5" s="142">
        <v>1</v>
      </c>
      <c r="I5" s="142">
        <v>0</v>
      </c>
      <c r="J5" s="142">
        <f t="shared" si="0"/>
        <v>3</v>
      </c>
      <c r="K5" s="145">
        <v>4000</v>
      </c>
      <c r="L5" s="142">
        <v>140</v>
      </c>
      <c r="M5" s="146">
        <v>0.8</v>
      </c>
      <c r="N5" s="146">
        <f t="shared" si="1"/>
        <v>0.83333333333333337</v>
      </c>
      <c r="O5" s="142" t="s">
        <v>390</v>
      </c>
    </row>
    <row r="6" spans="1:15" ht="15" customHeight="1" x14ac:dyDescent="0.25">
      <c r="A6" s="137">
        <v>3</v>
      </c>
      <c r="B6" s="138" t="s">
        <v>116</v>
      </c>
      <c r="C6" s="138" t="s">
        <v>393</v>
      </c>
      <c r="D6" s="138" t="s">
        <v>230</v>
      </c>
      <c r="E6" s="139" t="s">
        <v>394</v>
      </c>
      <c r="F6" s="137">
        <v>0</v>
      </c>
      <c r="G6" s="137">
        <v>1</v>
      </c>
      <c r="H6" s="137">
        <v>1</v>
      </c>
      <c r="I6" s="137">
        <v>1</v>
      </c>
      <c r="J6" s="137">
        <f t="shared" si="0"/>
        <v>3</v>
      </c>
      <c r="K6" s="140">
        <v>4200</v>
      </c>
      <c r="L6" s="137">
        <v>160</v>
      </c>
      <c r="M6" s="141">
        <v>0.95</v>
      </c>
      <c r="N6" s="141">
        <f t="shared" si="1"/>
        <v>0.95238095238095233</v>
      </c>
      <c r="O6" s="137" t="s">
        <v>390</v>
      </c>
    </row>
    <row r="7" spans="1:15" ht="15" customHeight="1" x14ac:dyDescent="0.25">
      <c r="A7" s="142">
        <v>4</v>
      </c>
      <c r="B7" s="143" t="s">
        <v>102</v>
      </c>
      <c r="C7" s="143" t="s">
        <v>395</v>
      </c>
      <c r="D7" s="143" t="s">
        <v>146</v>
      </c>
      <c r="E7" s="144" t="s">
        <v>396</v>
      </c>
      <c r="F7" s="142">
        <v>0</v>
      </c>
      <c r="G7" s="142">
        <v>1</v>
      </c>
      <c r="H7" s="142">
        <v>1</v>
      </c>
      <c r="I7" s="142">
        <v>1</v>
      </c>
      <c r="J7" s="142">
        <f t="shared" si="0"/>
        <v>3</v>
      </c>
      <c r="K7" s="145">
        <v>3000</v>
      </c>
      <c r="L7" s="142">
        <v>120</v>
      </c>
      <c r="M7" s="146">
        <v>0.7</v>
      </c>
      <c r="N7" s="146">
        <f t="shared" si="1"/>
        <v>0.7142857142857143</v>
      </c>
      <c r="O7" s="142" t="s">
        <v>390</v>
      </c>
    </row>
    <row r="8" spans="1:15" ht="15" customHeight="1" x14ac:dyDescent="0.25">
      <c r="A8" s="137">
        <v>5</v>
      </c>
      <c r="B8" s="138" t="s">
        <v>72</v>
      </c>
      <c r="C8" s="138" t="s">
        <v>397</v>
      </c>
      <c r="D8" s="138" t="s">
        <v>129</v>
      </c>
      <c r="E8" s="139" t="s">
        <v>398</v>
      </c>
      <c r="F8" s="137">
        <v>1</v>
      </c>
      <c r="G8" s="137">
        <v>1</v>
      </c>
      <c r="H8" s="137">
        <v>1</v>
      </c>
      <c r="I8" s="137">
        <v>1</v>
      </c>
      <c r="J8" s="137">
        <f t="shared" si="0"/>
        <v>4</v>
      </c>
      <c r="K8" s="140">
        <v>5000</v>
      </c>
      <c r="L8" s="137">
        <v>80</v>
      </c>
      <c r="M8" s="141">
        <v>0.6</v>
      </c>
      <c r="N8" s="141">
        <f t="shared" si="1"/>
        <v>0.47619047619047616</v>
      </c>
      <c r="O8" s="137" t="s">
        <v>390</v>
      </c>
    </row>
    <row r="9" spans="1:15" ht="15" customHeight="1" x14ac:dyDescent="0.25">
      <c r="A9" s="142">
        <v>6</v>
      </c>
      <c r="B9" s="143" t="s">
        <v>128</v>
      </c>
      <c r="C9" s="143" t="s">
        <v>399</v>
      </c>
      <c r="D9" s="143" t="s">
        <v>103</v>
      </c>
      <c r="E9" s="144" t="s">
        <v>400</v>
      </c>
      <c r="F9" s="142">
        <v>1</v>
      </c>
      <c r="G9" s="142">
        <v>1</v>
      </c>
      <c r="H9" s="142">
        <v>0</v>
      </c>
      <c r="I9" s="142">
        <v>0</v>
      </c>
      <c r="J9" s="142">
        <f t="shared" si="0"/>
        <v>2</v>
      </c>
      <c r="K9" s="145">
        <v>2000</v>
      </c>
      <c r="L9" s="142">
        <v>80</v>
      </c>
      <c r="M9" s="146">
        <v>1</v>
      </c>
      <c r="N9" s="146">
        <f t="shared" si="1"/>
        <v>0.47619047619047616</v>
      </c>
      <c r="O9" s="142" t="s">
        <v>390</v>
      </c>
    </row>
    <row r="10" spans="1:15" ht="15" customHeight="1" x14ac:dyDescent="0.25">
      <c r="A10" s="137">
        <v>7</v>
      </c>
      <c r="B10" s="138" t="s">
        <v>261</v>
      </c>
      <c r="C10" s="138" t="s">
        <v>401</v>
      </c>
      <c r="D10" s="138" t="s">
        <v>230</v>
      </c>
      <c r="E10" s="139" t="s">
        <v>402</v>
      </c>
      <c r="F10" s="137">
        <v>0</v>
      </c>
      <c r="G10" s="137">
        <v>0</v>
      </c>
      <c r="H10" s="137">
        <v>1</v>
      </c>
      <c r="I10" s="137">
        <v>1</v>
      </c>
      <c r="J10" s="137">
        <f t="shared" si="0"/>
        <v>2</v>
      </c>
      <c r="K10" s="140">
        <v>5500</v>
      </c>
      <c r="L10" s="137">
        <v>60</v>
      </c>
      <c r="M10" s="141">
        <v>0.5</v>
      </c>
      <c r="N10" s="141">
        <f t="shared" si="1"/>
        <v>0.35714285714285715</v>
      </c>
      <c r="O10" s="137" t="s">
        <v>403</v>
      </c>
    </row>
    <row r="11" spans="1:15" ht="15" customHeight="1" x14ac:dyDescent="0.25">
      <c r="A11" s="200" t="s">
        <v>404</v>
      </c>
      <c r="B11" s="200"/>
      <c r="C11" s="200"/>
      <c r="D11" s="200"/>
      <c r="E11" s="200"/>
      <c r="F11" s="74">
        <f>SUM(F4:F10)</f>
        <v>5</v>
      </c>
      <c r="G11" s="74">
        <f>SUM(G4:G10)</f>
        <v>7</v>
      </c>
      <c r="H11" s="74">
        <f>SUM(H4:H10)</f>
        <v>6</v>
      </c>
      <c r="I11" s="74">
        <f>SUM(I4:I10)</f>
        <v>4</v>
      </c>
      <c r="J11" s="74">
        <f>SUM(J4:J10)</f>
        <v>22</v>
      </c>
      <c r="K11" s="147">
        <f>AVERAGE(K4:K10)</f>
        <v>3885.7142857142858</v>
      </c>
      <c r="L11" s="74">
        <f>SUM(L4:L10)</f>
        <v>808</v>
      </c>
      <c r="M11" s="148">
        <f>AVERAGE(M4:M10)</f>
        <v>0.77857142857142869</v>
      </c>
      <c r="N11" s="148">
        <f>AVERAGE(N4:N10)</f>
        <v>0.68707482993197277</v>
      </c>
      <c r="O11" s="74"/>
    </row>
    <row r="13" spans="1:15" ht="15" customHeight="1" x14ac:dyDescent="0.25">
      <c r="A13" s="181" t="s">
        <v>405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5" ht="15" customHeight="1" x14ac:dyDescent="0.25">
      <c r="A14" s="74" t="s">
        <v>406</v>
      </c>
      <c r="B14" s="74" t="s">
        <v>55</v>
      </c>
      <c r="C14" s="74" t="s">
        <v>67</v>
      </c>
      <c r="D14" s="74" t="s">
        <v>77</v>
      </c>
      <c r="E14" s="74" t="s">
        <v>86</v>
      </c>
      <c r="F14" s="74" t="s">
        <v>384</v>
      </c>
      <c r="G14" s="74" t="s">
        <v>98</v>
      </c>
      <c r="H14" s="74" t="s">
        <v>407</v>
      </c>
    </row>
    <row r="15" spans="1:15" ht="15" customHeight="1" x14ac:dyDescent="0.25">
      <c r="A15" s="138" t="s">
        <v>176</v>
      </c>
      <c r="B15" s="137">
        <v>2</v>
      </c>
      <c r="C15" s="137">
        <v>2</v>
      </c>
      <c r="D15" s="137">
        <v>1</v>
      </c>
      <c r="E15" s="137">
        <v>0</v>
      </c>
      <c r="F15" s="137">
        <v>5</v>
      </c>
      <c r="G15" s="137">
        <v>168</v>
      </c>
      <c r="H15" s="141">
        <f t="shared" ref="H15:H21" si="2">N4</f>
        <v>1</v>
      </c>
    </row>
    <row r="16" spans="1:15" ht="15" customHeight="1" x14ac:dyDescent="0.25">
      <c r="A16" s="143" t="s">
        <v>187</v>
      </c>
      <c r="B16" s="142">
        <v>1</v>
      </c>
      <c r="C16" s="142">
        <v>1</v>
      </c>
      <c r="D16" s="142">
        <v>1</v>
      </c>
      <c r="E16" s="142">
        <v>0</v>
      </c>
      <c r="F16" s="142">
        <v>3</v>
      </c>
      <c r="G16" s="142">
        <v>140</v>
      </c>
      <c r="H16" s="146">
        <f t="shared" si="2"/>
        <v>0.83333333333333337</v>
      </c>
    </row>
    <row r="17" spans="1:8" ht="15" customHeight="1" x14ac:dyDescent="0.25">
      <c r="A17" s="138" t="s">
        <v>116</v>
      </c>
      <c r="B17" s="137">
        <v>0</v>
      </c>
      <c r="C17" s="137">
        <v>1</v>
      </c>
      <c r="D17" s="137">
        <v>1</v>
      </c>
      <c r="E17" s="137">
        <v>1</v>
      </c>
      <c r="F17" s="137">
        <v>3</v>
      </c>
      <c r="G17" s="137">
        <v>160</v>
      </c>
      <c r="H17" s="141">
        <f t="shared" si="2"/>
        <v>0.95238095238095233</v>
      </c>
    </row>
    <row r="18" spans="1:8" ht="15" customHeight="1" x14ac:dyDescent="0.25">
      <c r="A18" s="143" t="s">
        <v>102</v>
      </c>
      <c r="B18" s="142">
        <v>0</v>
      </c>
      <c r="C18" s="142">
        <v>1</v>
      </c>
      <c r="D18" s="142">
        <v>1</v>
      </c>
      <c r="E18" s="142">
        <v>1</v>
      </c>
      <c r="F18" s="142">
        <v>3</v>
      </c>
      <c r="G18" s="142">
        <v>120</v>
      </c>
      <c r="H18" s="146">
        <f t="shared" si="2"/>
        <v>0.7142857142857143</v>
      </c>
    </row>
    <row r="19" spans="1:8" ht="15" customHeight="1" x14ac:dyDescent="0.25">
      <c r="A19" s="138" t="s">
        <v>72</v>
      </c>
      <c r="B19" s="137">
        <v>1</v>
      </c>
      <c r="C19" s="137">
        <v>1</v>
      </c>
      <c r="D19" s="137">
        <v>1</v>
      </c>
      <c r="E19" s="137">
        <v>1</v>
      </c>
      <c r="F19" s="137">
        <v>4</v>
      </c>
      <c r="G19" s="137">
        <v>80</v>
      </c>
      <c r="H19" s="141">
        <f t="shared" si="2"/>
        <v>0.47619047619047616</v>
      </c>
    </row>
    <row r="20" spans="1:8" ht="15" customHeight="1" x14ac:dyDescent="0.25">
      <c r="A20" s="143" t="s">
        <v>128</v>
      </c>
      <c r="B20" s="142">
        <v>1</v>
      </c>
      <c r="C20" s="142">
        <v>1</v>
      </c>
      <c r="D20" s="142">
        <v>0</v>
      </c>
      <c r="E20" s="142">
        <v>0</v>
      </c>
      <c r="F20" s="142">
        <v>2</v>
      </c>
      <c r="G20" s="142">
        <v>80</v>
      </c>
      <c r="H20" s="146">
        <f t="shared" si="2"/>
        <v>0.47619047619047616</v>
      </c>
    </row>
    <row r="21" spans="1:8" ht="15" customHeight="1" x14ac:dyDescent="0.25">
      <c r="A21" s="138" t="s">
        <v>261</v>
      </c>
      <c r="B21" s="137">
        <v>0</v>
      </c>
      <c r="C21" s="137">
        <v>0</v>
      </c>
      <c r="D21" s="137">
        <v>1</v>
      </c>
      <c r="E21" s="137">
        <v>1</v>
      </c>
      <c r="F21" s="137">
        <v>2</v>
      </c>
      <c r="G21" s="137">
        <v>60</v>
      </c>
      <c r="H21" s="141">
        <f t="shared" si="2"/>
        <v>0.35714285714285715</v>
      </c>
    </row>
  </sheetData>
  <mergeCells count="3">
    <mergeCell ref="A1:O1"/>
    <mergeCell ref="A11:E11"/>
    <mergeCell ref="A13:O13"/>
  </mergeCells>
  <hyperlinks>
    <hyperlink ref="O2" location="'Project Overview'!A1" display="← Back to Project Overview" xr:uid="{00000000-0004-0000-05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"/>
  <sheetViews>
    <sheetView showGridLines="0" topLeftCell="C1" zoomScale="80" zoomScaleNormal="80" workbookViewId="0">
      <pane ySplit="3" topLeftCell="A4" activePane="bottomLeft" state="frozen"/>
      <selection activeCell="B1" sqref="B1"/>
      <selection pane="bottomLeft" activeCell="N19" sqref="N19"/>
    </sheetView>
  </sheetViews>
  <sheetFormatPr defaultColWidth="8.7109375" defaultRowHeight="15" x14ac:dyDescent="0.25"/>
  <cols>
    <col min="1" max="1" width="20.7109375" customWidth="1"/>
    <col min="2" max="2" width="38" customWidth="1"/>
    <col min="3" max="3" width="33.5703125" customWidth="1"/>
    <col min="4" max="4" width="18" customWidth="1"/>
    <col min="5" max="5" width="10" customWidth="1"/>
    <col min="6" max="7" width="12" customWidth="1"/>
    <col min="8" max="8" width="10" customWidth="1"/>
    <col min="9" max="9" width="14" customWidth="1"/>
    <col min="10" max="10" width="11" customWidth="1"/>
    <col min="11" max="11" width="50" customWidth="1"/>
    <col min="12" max="12" width="12" customWidth="1"/>
    <col min="13" max="13" width="14" customWidth="1"/>
    <col min="14" max="14" width="52" customWidth="1"/>
    <col min="15" max="15" width="20" customWidth="1"/>
  </cols>
  <sheetData>
    <row r="1" spans="1:15" ht="25.5" customHeight="1" x14ac:dyDescent="0.25">
      <c r="A1" s="199" t="s">
        <v>408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</row>
    <row r="2" spans="1:15" ht="15" customHeight="1" x14ac:dyDescent="0.25">
      <c r="K2" s="201" t="s">
        <v>88</v>
      </c>
      <c r="L2" s="201"/>
    </row>
    <row r="3" spans="1:15" ht="31.5" customHeight="1" x14ac:dyDescent="0.25">
      <c r="A3" s="108" t="s">
        <v>89</v>
      </c>
      <c r="B3" s="108" t="s">
        <v>409</v>
      </c>
      <c r="C3" s="108" t="s">
        <v>49</v>
      </c>
      <c r="D3" s="108" t="s">
        <v>349</v>
      </c>
      <c r="E3" s="108" t="s">
        <v>50</v>
      </c>
      <c r="F3" s="108" t="s">
        <v>93</v>
      </c>
      <c r="G3" s="108" t="s">
        <v>94</v>
      </c>
      <c r="H3" s="108" t="s">
        <v>410</v>
      </c>
      <c r="I3" s="108" t="s">
        <v>51</v>
      </c>
      <c r="J3" s="108" t="s">
        <v>96</v>
      </c>
      <c r="K3" s="108" t="s">
        <v>411</v>
      </c>
      <c r="L3" s="108" t="s">
        <v>412</v>
      </c>
      <c r="M3" s="108" t="s">
        <v>413</v>
      </c>
      <c r="N3" s="9" t="s">
        <v>414</v>
      </c>
      <c r="O3" s="62" t="s">
        <v>415</v>
      </c>
    </row>
    <row r="4" spans="1:15" ht="15" customHeight="1" x14ac:dyDescent="0.25">
      <c r="A4" s="115">
        <v>1</v>
      </c>
      <c r="B4" s="149" t="s">
        <v>52</v>
      </c>
      <c r="C4" s="150" t="s">
        <v>55</v>
      </c>
      <c r="D4" s="115" t="s">
        <v>176</v>
      </c>
      <c r="E4" s="115" t="s">
        <v>56</v>
      </c>
      <c r="F4" s="151">
        <v>45292</v>
      </c>
      <c r="G4" s="151">
        <v>45306</v>
      </c>
      <c r="H4" s="115">
        <f t="shared" ref="H4:H13" si="0">IF(OR(F4="",G4=""),"",G4-F4)</f>
        <v>14</v>
      </c>
      <c r="I4" s="115" t="str">
        <f t="shared" ref="I4:I13" si="1">IFERROR(IF(VALUE(SUBSTITUTE(SUBSTITUTE(J4,"%","")," ",""))&lt;=0,"Not Started",IF(VALUE(SUBSTITUTE(SUBSTITUTE(J4,"%","")," ",""))&gt;=1,"Completed","In Progress")),"Not Started")</f>
        <v>Completed</v>
      </c>
      <c r="J4" s="118">
        <v>1</v>
      </c>
      <c r="K4" s="152" t="s">
        <v>416</v>
      </c>
      <c r="L4" s="115" t="s">
        <v>417</v>
      </c>
      <c r="M4" s="151">
        <v>45308</v>
      </c>
      <c r="N4" s="12" t="b">
        <f>COUNTIF($O$4:O4,O4)&gt;1</f>
        <v>0</v>
      </c>
      <c r="O4" s="63" t="s">
        <v>54</v>
      </c>
    </row>
    <row r="5" spans="1:15" ht="15" customHeight="1" x14ac:dyDescent="0.25">
      <c r="A5" s="115">
        <v>2</v>
      </c>
      <c r="B5" s="149" t="s">
        <v>57</v>
      </c>
      <c r="C5" s="150" t="s">
        <v>55</v>
      </c>
      <c r="D5" s="115" t="s">
        <v>187</v>
      </c>
      <c r="E5" s="115" t="s">
        <v>56</v>
      </c>
      <c r="F5" s="151">
        <v>45299</v>
      </c>
      <c r="G5" s="151">
        <v>45309</v>
      </c>
      <c r="H5" s="115">
        <f t="shared" si="0"/>
        <v>10</v>
      </c>
      <c r="I5" s="115" t="str">
        <f t="shared" si="1"/>
        <v>Completed</v>
      </c>
      <c r="J5" s="118">
        <v>1</v>
      </c>
      <c r="K5" s="152" t="s">
        <v>418</v>
      </c>
      <c r="L5" s="115" t="s">
        <v>419</v>
      </c>
      <c r="M5" s="151">
        <v>45311</v>
      </c>
      <c r="N5" s="12" t="str">
        <f>TRIM(CLEAN(O5))</f>
        <v>Priya Sharma</v>
      </c>
      <c r="O5" s="63" t="s">
        <v>59</v>
      </c>
    </row>
    <row r="6" spans="1:15" ht="15" customHeight="1" x14ac:dyDescent="0.25">
      <c r="A6" s="115">
        <v>3</v>
      </c>
      <c r="B6" s="149" t="s">
        <v>60</v>
      </c>
      <c r="C6" s="150" t="s">
        <v>55</v>
      </c>
      <c r="D6" s="115" t="s">
        <v>261</v>
      </c>
      <c r="E6" s="115" t="s">
        <v>63</v>
      </c>
      <c r="F6" s="151">
        <v>45306</v>
      </c>
      <c r="G6" s="151">
        <v>45316</v>
      </c>
      <c r="H6" s="115">
        <f t="shared" si="0"/>
        <v>10</v>
      </c>
      <c r="I6" s="115" t="str">
        <f t="shared" si="1"/>
        <v>Completed</v>
      </c>
      <c r="J6" s="118">
        <v>1</v>
      </c>
      <c r="K6" s="152" t="s">
        <v>420</v>
      </c>
      <c r="L6" s="115" t="s">
        <v>421</v>
      </c>
      <c r="M6" s="151">
        <v>45318</v>
      </c>
      <c r="N6" s="12" t="str">
        <f>PROPER(O6)</f>
        <v>North West</v>
      </c>
      <c r="O6" s="63" t="s">
        <v>62</v>
      </c>
    </row>
    <row r="7" spans="1:15" ht="15" customHeight="1" x14ac:dyDescent="0.25">
      <c r="A7" s="115">
        <v>4</v>
      </c>
      <c r="B7" s="149" t="s">
        <v>64</v>
      </c>
      <c r="C7" s="153" t="s">
        <v>67</v>
      </c>
      <c r="D7" s="115" t="s">
        <v>116</v>
      </c>
      <c r="E7" s="115" t="s">
        <v>56</v>
      </c>
      <c r="F7" s="151">
        <v>45320</v>
      </c>
      <c r="G7" s="151">
        <v>45334</v>
      </c>
      <c r="H7" s="115">
        <f t="shared" si="0"/>
        <v>14</v>
      </c>
      <c r="I7" s="115" t="str">
        <f t="shared" si="1"/>
        <v>Completed</v>
      </c>
      <c r="J7" s="118">
        <v>1</v>
      </c>
      <c r="K7" s="152" t="s">
        <v>422</v>
      </c>
      <c r="L7" s="115" t="s">
        <v>423</v>
      </c>
      <c r="M7" s="151">
        <v>45336</v>
      </c>
      <c r="N7" s="12">
        <f>DATEVALUE(O7)</f>
        <v>45320</v>
      </c>
      <c r="O7" s="63" t="s">
        <v>66</v>
      </c>
    </row>
    <row r="8" spans="1:15" ht="15" customHeight="1" x14ac:dyDescent="0.25">
      <c r="A8" s="115">
        <v>5</v>
      </c>
      <c r="B8" s="149" t="s">
        <v>68</v>
      </c>
      <c r="C8" s="153" t="s">
        <v>67</v>
      </c>
      <c r="D8" s="115" t="s">
        <v>102</v>
      </c>
      <c r="E8" s="115" t="s">
        <v>63</v>
      </c>
      <c r="F8" s="151">
        <v>45327</v>
      </c>
      <c r="G8" s="151">
        <v>45341</v>
      </c>
      <c r="H8" s="115">
        <f t="shared" si="0"/>
        <v>14</v>
      </c>
      <c r="I8" s="115" t="str">
        <f t="shared" si="1"/>
        <v>Completed</v>
      </c>
      <c r="J8" s="118">
        <v>1</v>
      </c>
      <c r="K8" s="152" t="s">
        <v>424</v>
      </c>
      <c r="L8" s="115" t="s">
        <v>425</v>
      </c>
      <c r="M8" s="151">
        <v>45343</v>
      </c>
      <c r="N8" s="12" t="str">
        <f>IF(O8="","Unknown",O8)</f>
        <v>Unknown</v>
      </c>
      <c r="O8" s="63"/>
    </row>
    <row r="9" spans="1:15" ht="15" customHeight="1" x14ac:dyDescent="0.25">
      <c r="A9" s="120">
        <v>6</v>
      </c>
      <c r="B9" s="154" t="s">
        <v>70</v>
      </c>
      <c r="C9" s="153" t="s">
        <v>67</v>
      </c>
      <c r="D9" s="120" t="s">
        <v>72</v>
      </c>
      <c r="E9" s="120" t="s">
        <v>73</v>
      </c>
      <c r="F9" s="155">
        <v>45334</v>
      </c>
      <c r="G9" s="155">
        <v>45346</v>
      </c>
      <c r="H9" s="120">
        <f t="shared" si="0"/>
        <v>12</v>
      </c>
      <c r="I9" s="120" t="str">
        <f t="shared" si="1"/>
        <v>In Progress</v>
      </c>
      <c r="J9" s="123">
        <v>0.65</v>
      </c>
      <c r="K9" s="156" t="s">
        <v>426</v>
      </c>
      <c r="L9" s="120" t="s">
        <v>427</v>
      </c>
      <c r="M9" s="155">
        <v>45348</v>
      </c>
      <c r="N9" s="12" t="str">
        <f>LEFT(O9,FIND(" ",O9)-1)</f>
        <v>Karan</v>
      </c>
      <c r="O9" s="63" t="s">
        <v>72</v>
      </c>
    </row>
    <row r="10" spans="1:15" ht="15" customHeight="1" x14ac:dyDescent="0.25">
      <c r="A10" s="120">
        <v>7</v>
      </c>
      <c r="B10" s="154" t="s">
        <v>74</v>
      </c>
      <c r="C10" s="157" t="s">
        <v>77</v>
      </c>
      <c r="D10" s="120" t="s">
        <v>116</v>
      </c>
      <c r="E10" s="120" t="s">
        <v>56</v>
      </c>
      <c r="F10" s="155">
        <v>45355</v>
      </c>
      <c r="G10" s="155">
        <v>45369</v>
      </c>
      <c r="H10" s="120">
        <f t="shared" si="0"/>
        <v>14</v>
      </c>
      <c r="I10" s="120" t="str">
        <f t="shared" si="1"/>
        <v>In Progress</v>
      </c>
      <c r="J10" s="123">
        <v>0.4</v>
      </c>
      <c r="K10" s="156" t="s">
        <v>428</v>
      </c>
      <c r="L10" s="120" t="s">
        <v>429</v>
      </c>
      <c r="M10" s="155">
        <v>45371</v>
      </c>
      <c r="N10" s="13">
        <f>VALUE(SUBSTITUTE(SUBSTITUTE(O10,"Rs. ",""),",",""))</f>
        <v>1</v>
      </c>
      <c r="O10" s="63" t="s">
        <v>430</v>
      </c>
    </row>
    <row r="11" spans="1:15" ht="15" customHeight="1" x14ac:dyDescent="0.25">
      <c r="A11" s="125">
        <v>8</v>
      </c>
      <c r="B11" s="158" t="s">
        <v>78</v>
      </c>
      <c r="C11" s="157" t="s">
        <v>77</v>
      </c>
      <c r="D11" s="125" t="s">
        <v>237</v>
      </c>
      <c r="E11" s="125" t="s">
        <v>63</v>
      </c>
      <c r="F11" s="159">
        <v>45362</v>
      </c>
      <c r="G11" s="159">
        <v>45376</v>
      </c>
      <c r="H11" s="125">
        <f t="shared" si="0"/>
        <v>14</v>
      </c>
      <c r="I11" s="125" t="str">
        <f t="shared" si="1"/>
        <v>Not Started</v>
      </c>
      <c r="J11" s="128">
        <v>0</v>
      </c>
      <c r="K11" s="160" t="s">
        <v>431</v>
      </c>
      <c r="L11" s="125" t="s">
        <v>432</v>
      </c>
      <c r="M11" s="159">
        <v>45378</v>
      </c>
      <c r="N11" s="12" t="str">
        <f>IF(AND(O11&gt;=18,O11&lt;=65),"Valid","Invalid")</f>
        <v>Valid</v>
      </c>
      <c r="O11" s="63">
        <v>45</v>
      </c>
    </row>
    <row r="12" spans="1:15" ht="15" customHeight="1" x14ac:dyDescent="0.25">
      <c r="A12" s="125">
        <v>9</v>
      </c>
      <c r="B12" s="158" t="s">
        <v>80</v>
      </c>
      <c r="C12" s="157" t="s">
        <v>77</v>
      </c>
      <c r="D12" s="125" t="s">
        <v>140</v>
      </c>
      <c r="E12" s="125" t="s">
        <v>63</v>
      </c>
      <c r="F12" s="159">
        <v>45369</v>
      </c>
      <c r="G12" s="159">
        <v>45383</v>
      </c>
      <c r="H12" s="125">
        <f t="shared" si="0"/>
        <v>14</v>
      </c>
      <c r="I12" s="125" t="str">
        <f t="shared" si="1"/>
        <v>Not Started</v>
      </c>
      <c r="J12" s="128">
        <v>0</v>
      </c>
      <c r="K12" s="160" t="s">
        <v>433</v>
      </c>
      <c r="L12" s="125" t="s">
        <v>434</v>
      </c>
      <c r="M12" s="159">
        <v>45385</v>
      </c>
      <c r="N12" s="12" t="str">
        <f>PROPER(UPPER(O12))</f>
        <v>Electronics</v>
      </c>
      <c r="O12" s="63" t="s">
        <v>82</v>
      </c>
    </row>
    <row r="13" spans="1:15" ht="15" customHeight="1" x14ac:dyDescent="0.25">
      <c r="A13" s="125">
        <v>10</v>
      </c>
      <c r="B13" s="158" t="s">
        <v>83</v>
      </c>
      <c r="C13" s="161" t="s">
        <v>86</v>
      </c>
      <c r="D13" s="125" t="s">
        <v>195</v>
      </c>
      <c r="E13" s="125" t="s">
        <v>73</v>
      </c>
      <c r="F13" s="159">
        <v>45397</v>
      </c>
      <c r="G13" s="159">
        <v>45411</v>
      </c>
      <c r="H13" s="125">
        <f t="shared" si="0"/>
        <v>14</v>
      </c>
      <c r="I13" s="125" t="str">
        <f t="shared" si="1"/>
        <v>Not Started</v>
      </c>
      <c r="J13" s="128">
        <v>0</v>
      </c>
      <c r="K13" s="160" t="s">
        <v>435</v>
      </c>
      <c r="L13" s="125" t="s">
        <v>436</v>
      </c>
      <c r="M13" s="159">
        <v>45413</v>
      </c>
      <c r="N13" s="12" t="str">
        <f>O13&amp;", Mumbai, 400001"</f>
        <v>123 Main St, Mumbai, 400001</v>
      </c>
      <c r="O13" s="63" t="s">
        <v>85</v>
      </c>
    </row>
    <row r="16" spans="1:15" ht="15" customHeight="1" x14ac:dyDescent="0.25">
      <c r="A16" t="s">
        <v>437</v>
      </c>
      <c r="F16" t="s">
        <v>438</v>
      </c>
    </row>
    <row r="17" spans="1:7" ht="15" customHeight="1" x14ac:dyDescent="0.25">
      <c r="A17" s="108" t="s">
        <v>439</v>
      </c>
      <c r="B17" s="108" t="s">
        <v>440</v>
      </c>
      <c r="C17" s="108" t="s">
        <v>441</v>
      </c>
      <c r="D17" s="108" t="s">
        <v>442</v>
      </c>
      <c r="F17" s="108" t="s">
        <v>51</v>
      </c>
      <c r="G17" s="108" t="s">
        <v>443</v>
      </c>
    </row>
    <row r="18" spans="1:7" ht="15" customHeight="1" x14ac:dyDescent="0.25">
      <c r="A18" s="115" t="s">
        <v>444</v>
      </c>
      <c r="B18" s="115" t="s">
        <v>445</v>
      </c>
      <c r="C18" s="115" t="s">
        <v>446</v>
      </c>
      <c r="D18" s="162">
        <f>IFERROR(SUMPRODUCT((COUNTIF($B$4:$B$500,$B$4:$B$500)&gt;1)*1)/2,0)</f>
        <v>1</v>
      </c>
      <c r="F18" s="115" t="s">
        <v>3</v>
      </c>
      <c r="G18" s="115">
        <f>COUNTIF($I$4:$I$13,"Completed")</f>
        <v>5</v>
      </c>
    </row>
    <row r="19" spans="1:7" ht="15" customHeight="1" x14ac:dyDescent="0.25">
      <c r="A19" s="115" t="s">
        <v>447</v>
      </c>
      <c r="B19" s="115" t="s">
        <v>448</v>
      </c>
      <c r="C19" s="115" t="s">
        <v>449</v>
      </c>
      <c r="D19" s="162">
        <f>IFERROR(ROUND(AVERAGE('Cleaned Data'!$N$4:$N$500)/1000,2),0)</f>
        <v>55.97</v>
      </c>
      <c r="F19" s="115" t="s">
        <v>4</v>
      </c>
      <c r="G19" s="115">
        <f>COUNTIF($I$4:$I$13,"In Progress")</f>
        <v>2</v>
      </c>
    </row>
    <row r="20" spans="1:7" ht="15" customHeight="1" x14ac:dyDescent="0.25">
      <c r="A20" s="115" t="s">
        <v>450</v>
      </c>
      <c r="B20" s="115" t="s">
        <v>448</v>
      </c>
      <c r="C20" s="115" t="s">
        <v>451</v>
      </c>
      <c r="D20" s="162">
        <f>IFERROR(ROUND(SUM('Cleaned Data'!$N$4:$N$500)/100000,2),0)</f>
        <v>67.16</v>
      </c>
      <c r="F20" s="115" t="s">
        <v>5</v>
      </c>
      <c r="G20" s="115">
        <f>COUNTIF($I$4:$I$13,"Not Started")</f>
        <v>3</v>
      </c>
    </row>
    <row r="21" spans="1:7" ht="15" customHeight="1" x14ac:dyDescent="0.25">
      <c r="A21" s="115" t="s">
        <v>452</v>
      </c>
      <c r="B21" s="115" t="s">
        <v>453</v>
      </c>
      <c r="C21" s="115" t="s">
        <v>454</v>
      </c>
      <c r="D21" s="162">
        <f>IFERROR(ROUND((COUNTIF($I$4:$I$13,"Completed")/COUNTA($A$4:$A$13))*100,2),0)</f>
        <v>50</v>
      </c>
    </row>
    <row r="22" spans="1:7" ht="15" customHeight="1" x14ac:dyDescent="0.25">
      <c r="A22" s="115" t="s">
        <v>455</v>
      </c>
      <c r="B22" s="115" t="s">
        <v>456</v>
      </c>
      <c r="C22" s="115" t="s">
        <v>457</v>
      </c>
      <c r="D22" s="162">
        <f>IFERROR(ROUND((COUNTIF($I$4:$I$13,"In Progress")/COUNTA($A$4:$A$13))*100,2),0)</f>
        <v>20</v>
      </c>
    </row>
  </sheetData>
  <mergeCells count="2">
    <mergeCell ref="A1:L1"/>
    <mergeCell ref="K2:L2"/>
  </mergeCells>
  <hyperlinks>
    <hyperlink ref="K2" location="'Project Overview'!A1" display="← Back to Project Overview" xr:uid="{00000000-0004-0000-06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showGridLines="0" zoomScale="80" zoomScaleNormal="80" workbookViewId="0">
      <pane ySplit="3" topLeftCell="A4" activePane="bottomLeft" state="frozen"/>
      <selection pane="bottomLeft" activeCell="K22" sqref="K22"/>
    </sheetView>
  </sheetViews>
  <sheetFormatPr defaultColWidth="8.7109375" defaultRowHeight="15" x14ac:dyDescent="0.25"/>
  <cols>
    <col min="1" max="1" width="30.28515625" customWidth="1"/>
    <col min="2" max="2" width="26.28515625" customWidth="1"/>
    <col min="3" max="3" width="42" customWidth="1"/>
    <col min="4" max="4" width="20" customWidth="1"/>
    <col min="5" max="6" width="14" customWidth="1"/>
  </cols>
  <sheetData>
    <row r="1" spans="1:6" ht="25.5" customHeight="1" x14ac:dyDescent="0.25">
      <c r="A1" s="199" t="s">
        <v>458</v>
      </c>
      <c r="B1" s="199"/>
      <c r="C1" s="199"/>
      <c r="D1" s="199"/>
      <c r="E1" s="199"/>
      <c r="F1" s="199"/>
    </row>
    <row r="2" spans="1:6" ht="17.25" customHeight="1" x14ac:dyDescent="0.25">
      <c r="F2" s="14" t="s">
        <v>88</v>
      </c>
    </row>
    <row r="3" spans="1:6" ht="27.75" customHeight="1" x14ac:dyDescent="0.25">
      <c r="A3" s="108" t="s">
        <v>89</v>
      </c>
      <c r="B3" s="108" t="s">
        <v>459</v>
      </c>
      <c r="C3" s="108" t="s">
        <v>460</v>
      </c>
      <c r="D3" s="108" t="s">
        <v>461</v>
      </c>
      <c r="E3" s="108" t="s">
        <v>462</v>
      </c>
      <c r="F3" s="108" t="s">
        <v>51</v>
      </c>
    </row>
    <row r="4" spans="1:6" ht="20.25" customHeight="1" x14ac:dyDescent="0.25">
      <c r="A4" s="163">
        <v>1</v>
      </c>
      <c r="B4" s="164" t="s">
        <v>463</v>
      </c>
      <c r="C4" s="165" t="s">
        <v>464</v>
      </c>
      <c r="D4" s="163" t="s">
        <v>176</v>
      </c>
      <c r="E4" s="166">
        <v>45313</v>
      </c>
      <c r="F4" s="163" t="s">
        <v>3</v>
      </c>
    </row>
    <row r="5" spans="1:6" ht="17.25" customHeight="1" x14ac:dyDescent="0.25">
      <c r="A5" s="163">
        <v>2</v>
      </c>
      <c r="B5" s="164" t="s">
        <v>465</v>
      </c>
      <c r="C5" s="165" t="s">
        <v>466</v>
      </c>
      <c r="D5" s="163" t="s">
        <v>187</v>
      </c>
      <c r="E5" s="166">
        <v>45313</v>
      </c>
      <c r="F5" s="163" t="s">
        <v>3</v>
      </c>
    </row>
    <row r="6" spans="1:6" ht="21.75" customHeight="1" x14ac:dyDescent="0.25">
      <c r="A6" s="163">
        <v>3</v>
      </c>
      <c r="B6" s="164" t="s">
        <v>467</v>
      </c>
      <c r="C6" s="165" t="s">
        <v>468</v>
      </c>
      <c r="D6" s="163" t="s">
        <v>261</v>
      </c>
      <c r="E6" s="166">
        <v>45327</v>
      </c>
      <c r="F6" s="163" t="s">
        <v>3</v>
      </c>
    </row>
    <row r="7" spans="1:6" ht="22.5" customHeight="1" x14ac:dyDescent="0.25">
      <c r="A7" s="163">
        <v>4</v>
      </c>
      <c r="B7" s="164" t="s">
        <v>469</v>
      </c>
      <c r="C7" s="165" t="s">
        <v>470</v>
      </c>
      <c r="D7" s="163" t="s">
        <v>116</v>
      </c>
      <c r="E7" s="166">
        <v>45327</v>
      </c>
      <c r="F7" s="163" t="s">
        <v>3</v>
      </c>
    </row>
    <row r="8" spans="1:6" ht="21.75" customHeight="1" x14ac:dyDescent="0.25">
      <c r="A8" s="163">
        <v>5</v>
      </c>
      <c r="B8" s="164" t="s">
        <v>471</v>
      </c>
      <c r="C8" s="165" t="s">
        <v>472</v>
      </c>
      <c r="D8" s="163" t="s">
        <v>102</v>
      </c>
      <c r="E8" s="166">
        <v>45341</v>
      </c>
      <c r="F8" s="163" t="s">
        <v>3</v>
      </c>
    </row>
    <row r="9" spans="1:6" ht="21" customHeight="1" x14ac:dyDescent="0.25">
      <c r="A9" s="167">
        <v>6</v>
      </c>
      <c r="B9" s="168" t="s">
        <v>473</v>
      </c>
      <c r="C9" s="169" t="s">
        <v>474</v>
      </c>
      <c r="D9" s="167" t="s">
        <v>72</v>
      </c>
      <c r="E9" s="170">
        <v>45358</v>
      </c>
      <c r="F9" s="167" t="s">
        <v>4</v>
      </c>
    </row>
    <row r="10" spans="1:6" ht="24" customHeight="1" x14ac:dyDescent="0.25">
      <c r="A10" s="167">
        <v>7</v>
      </c>
      <c r="B10" s="168" t="s">
        <v>475</v>
      </c>
      <c r="C10" s="169" t="s">
        <v>476</v>
      </c>
      <c r="D10" s="167" t="s">
        <v>140</v>
      </c>
      <c r="E10" s="170">
        <v>45372</v>
      </c>
      <c r="F10" s="167" t="s">
        <v>4</v>
      </c>
    </row>
    <row r="11" spans="1:6" ht="24.75" customHeight="1" x14ac:dyDescent="0.25">
      <c r="A11" s="171">
        <v>8</v>
      </c>
      <c r="B11" s="172" t="s">
        <v>477</v>
      </c>
      <c r="C11" s="173" t="s">
        <v>478</v>
      </c>
      <c r="D11" s="171" t="s">
        <v>237</v>
      </c>
      <c r="E11" s="174">
        <v>45372</v>
      </c>
      <c r="F11" s="175" t="s">
        <v>5</v>
      </c>
    </row>
    <row r="12" spans="1:6" ht="23.25" customHeight="1" x14ac:dyDescent="0.25">
      <c r="A12" s="171">
        <v>9</v>
      </c>
      <c r="B12" s="172" t="s">
        <v>479</v>
      </c>
      <c r="C12" s="173" t="s">
        <v>480</v>
      </c>
      <c r="D12" s="171" t="s">
        <v>128</v>
      </c>
      <c r="E12" s="174">
        <v>45387</v>
      </c>
      <c r="F12" s="175" t="s">
        <v>5</v>
      </c>
    </row>
    <row r="13" spans="1:6" ht="21.75" customHeight="1" x14ac:dyDescent="0.25">
      <c r="A13" s="163">
        <v>10</v>
      </c>
      <c r="B13" s="164" t="s">
        <v>481</v>
      </c>
      <c r="C13" s="165" t="s">
        <v>482</v>
      </c>
      <c r="D13" s="163" t="s">
        <v>195</v>
      </c>
      <c r="E13" s="166">
        <v>45292</v>
      </c>
      <c r="F13" s="163" t="s">
        <v>3</v>
      </c>
    </row>
    <row r="14" spans="1:6" ht="15.75" customHeight="1" x14ac:dyDescent="0.25"/>
    <row r="15" spans="1:6" ht="39.75" hidden="1" customHeight="1" x14ac:dyDescent="0.25">
      <c r="A15" s="202"/>
      <c r="B15" s="202"/>
      <c r="C15" s="202"/>
      <c r="D15" s="202"/>
      <c r="E15" s="202"/>
      <c r="F15" s="202"/>
    </row>
    <row r="16" spans="1:6" ht="8.25" customHeight="1" x14ac:dyDescent="0.25"/>
    <row r="17" spans="1:2" ht="15" customHeight="1" x14ac:dyDescent="0.25">
      <c r="A17" s="176" t="s">
        <v>438</v>
      </c>
      <c r="B17" s="176" t="s">
        <v>443</v>
      </c>
    </row>
    <row r="18" spans="1:2" ht="15" customHeight="1" x14ac:dyDescent="0.25">
      <c r="A18" s="177" t="s">
        <v>3</v>
      </c>
      <c r="B18" s="177">
        <f>COUNTIF($F$4:$F$13,"Completed")</f>
        <v>6</v>
      </c>
    </row>
    <row r="19" spans="1:2" ht="15" customHeight="1" x14ac:dyDescent="0.25">
      <c r="A19" s="177" t="s">
        <v>4</v>
      </c>
      <c r="B19" s="177">
        <f>COUNTIF($F$4:$F$13,"In Progress")</f>
        <v>2</v>
      </c>
    </row>
    <row r="20" spans="1:2" ht="15" customHeight="1" x14ac:dyDescent="0.25">
      <c r="A20" s="177" t="s">
        <v>5</v>
      </c>
      <c r="B20" s="177">
        <f>COUNTIF($F$4:$F$13,"Not Started")</f>
        <v>2</v>
      </c>
    </row>
  </sheetData>
  <mergeCells count="2">
    <mergeCell ref="A1:F1"/>
    <mergeCell ref="A15:F15"/>
  </mergeCells>
  <hyperlinks>
    <hyperlink ref="F2" location="'Project Overview'!A1" display="← Back to Project Overview" xr:uid="{00000000-0004-0000-07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3"/>
  <sheetViews>
    <sheetView showGridLines="0" zoomScaleNormal="100" workbookViewId="0">
      <pane ySplit="3" topLeftCell="A4" activePane="bottomLeft" state="frozen"/>
      <selection pane="bottomLeft" activeCell="G6" sqref="G6"/>
    </sheetView>
  </sheetViews>
  <sheetFormatPr defaultColWidth="8.7109375" defaultRowHeight="15" x14ac:dyDescent="0.25"/>
  <cols>
    <col min="1" max="12" width="18" customWidth="1"/>
  </cols>
  <sheetData>
    <row r="1" spans="1:12" x14ac:dyDescent="0.25">
      <c r="A1" s="203" t="s">
        <v>483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</row>
    <row r="2" spans="1:12" x14ac:dyDescent="0.25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</row>
    <row r="4" spans="1:12" x14ac:dyDescent="0.25">
      <c r="A4" s="204" t="s">
        <v>2</v>
      </c>
      <c r="B4" s="204"/>
      <c r="D4" s="205" t="s">
        <v>3</v>
      </c>
      <c r="E4" s="205"/>
      <c r="G4" s="206" t="s">
        <v>4</v>
      </c>
      <c r="H4" s="206"/>
      <c r="J4" s="207" t="s">
        <v>5</v>
      </c>
      <c r="K4" s="207"/>
    </row>
    <row r="5" spans="1:12" x14ac:dyDescent="0.25">
      <c r="A5" s="204"/>
      <c r="B5" s="204"/>
      <c r="D5" s="205"/>
      <c r="E5" s="205"/>
      <c r="G5" s="206"/>
      <c r="H5" s="206"/>
      <c r="J5" s="207"/>
      <c r="K5" s="207"/>
    </row>
    <row r="6" spans="1:12" x14ac:dyDescent="0.25">
      <c r="A6" s="210">
        <f>'Project Overview'!A18</f>
        <v>10</v>
      </c>
      <c r="B6" s="210"/>
      <c r="D6" s="210">
        <f>'Project Overview'!B18</f>
        <v>5</v>
      </c>
      <c r="E6" s="210"/>
      <c r="G6" s="210">
        <f>'Project Overview'!C18</f>
        <v>2</v>
      </c>
      <c r="H6" s="210"/>
      <c r="J6" s="210">
        <f>'Project Overview'!D18</f>
        <v>3</v>
      </c>
      <c r="K6" s="210"/>
    </row>
    <row r="7" spans="1:12" x14ac:dyDescent="0.25">
      <c r="A7" s="210"/>
      <c r="B7" s="210"/>
      <c r="D7" s="210"/>
      <c r="E7" s="210"/>
      <c r="G7" s="210"/>
      <c r="H7" s="210"/>
      <c r="J7" s="210"/>
      <c r="K7" s="210"/>
    </row>
    <row r="8" spans="1:12" x14ac:dyDescent="0.25">
      <c r="A8" s="210"/>
      <c r="B8" s="210"/>
      <c r="D8" s="210"/>
      <c r="E8" s="210"/>
      <c r="G8" s="210"/>
      <c r="H8" s="210"/>
      <c r="J8" s="210"/>
      <c r="K8" s="210"/>
    </row>
    <row r="10" spans="1:12" ht="18.75" customHeight="1" x14ac:dyDescent="0.25">
      <c r="A10" s="211" t="s">
        <v>484</v>
      </c>
      <c r="B10" s="211"/>
      <c r="C10" s="211"/>
      <c r="D10" s="211"/>
      <c r="E10" s="211"/>
      <c r="F10" s="211"/>
    </row>
    <row r="11" spans="1:12" x14ac:dyDescent="0.25">
      <c r="A11" s="64" t="s">
        <v>485</v>
      </c>
      <c r="B11" s="208" t="s">
        <v>486</v>
      </c>
      <c r="C11" s="208"/>
    </row>
    <row r="12" spans="1:12" x14ac:dyDescent="0.25">
      <c r="A12" s="64" t="s">
        <v>487</v>
      </c>
      <c r="B12" s="65" t="s">
        <v>19</v>
      </c>
    </row>
    <row r="13" spans="1:12" x14ac:dyDescent="0.25">
      <c r="A13" s="64" t="s">
        <v>488</v>
      </c>
      <c r="B13" s="65" t="s">
        <v>23</v>
      </c>
    </row>
    <row r="14" spans="1:12" x14ac:dyDescent="0.25">
      <c r="A14" s="64" t="s">
        <v>489</v>
      </c>
      <c r="B14" s="65" t="s">
        <v>27</v>
      </c>
    </row>
    <row r="17" spans="1:11" x14ac:dyDescent="0.25">
      <c r="J17" s="209" t="s">
        <v>88</v>
      </c>
      <c r="K17" s="209"/>
    </row>
    <row r="20" spans="1:11" x14ac:dyDescent="0.25">
      <c r="A20" s="66" t="s">
        <v>51</v>
      </c>
      <c r="B20" s="66" t="s">
        <v>443</v>
      </c>
    </row>
    <row r="21" spans="1:11" x14ac:dyDescent="0.25">
      <c r="A21" t="s">
        <v>3</v>
      </c>
      <c r="B21">
        <f>'Project Overview'!B18</f>
        <v>5</v>
      </c>
    </row>
    <row r="22" spans="1:11" x14ac:dyDescent="0.25">
      <c r="A22" t="s">
        <v>4</v>
      </c>
      <c r="B22">
        <f>'Project Overview'!C18</f>
        <v>2</v>
      </c>
    </row>
    <row r="23" spans="1:11" x14ac:dyDescent="0.25">
      <c r="A23" t="s">
        <v>5</v>
      </c>
      <c r="B23">
        <f>'Project Overview'!D18</f>
        <v>3</v>
      </c>
    </row>
  </sheetData>
  <mergeCells count="12">
    <mergeCell ref="B11:C11"/>
    <mergeCell ref="J17:K17"/>
    <mergeCell ref="A6:B8"/>
    <mergeCell ref="D6:E8"/>
    <mergeCell ref="G6:H8"/>
    <mergeCell ref="J6:K8"/>
    <mergeCell ref="A10:F10"/>
    <mergeCell ref="A1:L2"/>
    <mergeCell ref="A4:B5"/>
    <mergeCell ref="D4:E5"/>
    <mergeCell ref="G4:H5"/>
    <mergeCell ref="J4:K5"/>
  </mergeCells>
  <hyperlinks>
    <hyperlink ref="J17" location="'Project Overview'!A1" display="← Back to Project Overview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5A0"/>
  </sheetPr>
  <dimension ref="A1:AI79"/>
  <sheetViews>
    <sheetView zoomScale="30" zoomScaleNormal="30" workbookViewId="0">
      <selection activeCell="AK65" sqref="AK65"/>
    </sheetView>
  </sheetViews>
  <sheetFormatPr defaultColWidth="8.7109375" defaultRowHeight="15" x14ac:dyDescent="0.25"/>
  <cols>
    <col min="1" max="1" width="2" customWidth="1"/>
    <col min="2" max="2" width="3" customWidth="1"/>
    <col min="3" max="3" width="28" customWidth="1"/>
    <col min="4" max="5" width="14" customWidth="1"/>
    <col min="6" max="6" width="18" customWidth="1"/>
    <col min="7" max="7" width="8" customWidth="1"/>
    <col min="8" max="8" width="18" customWidth="1"/>
    <col min="9" max="11" width="14" customWidth="1"/>
    <col min="12" max="12" width="18" customWidth="1"/>
    <col min="13" max="13" width="12" customWidth="1"/>
    <col min="14" max="14" width="18" customWidth="1"/>
    <col min="15" max="15" width="10" customWidth="1"/>
    <col min="16" max="16" width="14" customWidth="1"/>
    <col min="17" max="17" width="12" customWidth="1"/>
    <col min="18" max="18" width="18" customWidth="1"/>
    <col min="19" max="19" width="14" customWidth="1"/>
    <col min="20" max="20" width="18" customWidth="1"/>
    <col min="21" max="23" width="14" customWidth="1"/>
    <col min="24" max="24" width="18" customWidth="1"/>
    <col min="30" max="30" width="13" customWidth="1"/>
    <col min="34" max="34" width="18" customWidth="1"/>
  </cols>
  <sheetData>
    <row r="1" spans="1:35" ht="1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65" t="s">
        <v>51</v>
      </c>
      <c r="AA1" s="265" t="s">
        <v>443</v>
      </c>
      <c r="AB1" s="265" t="s">
        <v>49</v>
      </c>
      <c r="AC1" s="265" t="s">
        <v>490</v>
      </c>
      <c r="AD1" s="265" t="s">
        <v>92</v>
      </c>
      <c r="AE1" s="265" t="s">
        <v>491</v>
      </c>
      <c r="AF1" s="265" t="s">
        <v>50</v>
      </c>
      <c r="AG1" s="265" t="s">
        <v>443</v>
      </c>
      <c r="AH1" s="265" t="s">
        <v>492</v>
      </c>
      <c r="AI1" s="265" t="s">
        <v>493</v>
      </c>
    </row>
    <row r="2" spans="1:35" ht="27.75" customHeight="1" x14ac:dyDescent="0.25">
      <c r="A2" s="1"/>
      <c r="B2" s="212" t="s">
        <v>494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1"/>
      <c r="Z2" s="265" t="s">
        <v>4</v>
      </c>
      <c r="AA2" s="265">
        <v>97</v>
      </c>
      <c r="AB2" s="265" t="s">
        <v>55</v>
      </c>
      <c r="AC2" s="265">
        <v>1944500</v>
      </c>
      <c r="AD2" s="265" t="s">
        <v>146</v>
      </c>
      <c r="AE2" s="265">
        <v>25</v>
      </c>
      <c r="AF2" s="265" t="s">
        <v>56</v>
      </c>
      <c r="AG2" s="265">
        <v>38</v>
      </c>
      <c r="AH2" s="265" t="s">
        <v>176</v>
      </c>
      <c r="AI2" s="265">
        <v>68</v>
      </c>
    </row>
    <row r="3" spans="1:35" ht="27.75" customHeight="1" x14ac:dyDescent="0.25">
      <c r="A3" s="1"/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1"/>
      <c r="Z3" s="265" t="s">
        <v>5</v>
      </c>
      <c r="AA3" s="265">
        <v>23</v>
      </c>
      <c r="AB3" s="265" t="s">
        <v>67</v>
      </c>
      <c r="AC3" s="265">
        <v>1624100</v>
      </c>
      <c r="AD3" s="265" t="s">
        <v>129</v>
      </c>
      <c r="AE3" s="265">
        <v>25</v>
      </c>
      <c r="AF3" s="265" t="s">
        <v>63</v>
      </c>
      <c r="AG3" s="265">
        <v>29</v>
      </c>
      <c r="AH3" s="265" t="s">
        <v>302</v>
      </c>
      <c r="AI3" s="265">
        <v>61.4</v>
      </c>
    </row>
    <row r="4" spans="1:35" ht="27.75" customHeight="1" x14ac:dyDescent="0.25">
      <c r="A4" s="1"/>
      <c r="B4" s="213" t="s">
        <v>495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1"/>
      <c r="Z4" s="265" t="s">
        <v>3</v>
      </c>
      <c r="AA4" s="265">
        <v>0</v>
      </c>
      <c r="AB4" s="265" t="s">
        <v>77</v>
      </c>
      <c r="AC4" s="265">
        <v>1622400</v>
      </c>
      <c r="AD4" s="265" t="s">
        <v>103</v>
      </c>
      <c r="AE4" s="265">
        <v>24</v>
      </c>
      <c r="AF4" s="265" t="s">
        <v>73</v>
      </c>
      <c r="AG4" s="265">
        <v>25</v>
      </c>
      <c r="AH4" s="265" t="s">
        <v>261</v>
      </c>
      <c r="AI4" s="265">
        <v>56.1</v>
      </c>
    </row>
    <row r="5" spans="1:35" ht="27.75" customHeight="1" x14ac:dyDescent="0.25">
      <c r="A5" s="1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1"/>
      <c r="Z5" s="265"/>
      <c r="AA5" s="265"/>
      <c r="AB5" s="265" t="s">
        <v>86</v>
      </c>
      <c r="AC5" s="265">
        <v>1525000</v>
      </c>
      <c r="AD5" s="265" t="s">
        <v>191</v>
      </c>
      <c r="AE5" s="265">
        <v>23</v>
      </c>
      <c r="AF5" s="265" t="s">
        <v>106</v>
      </c>
      <c r="AG5" s="265">
        <v>28</v>
      </c>
      <c r="AH5" s="265" t="s">
        <v>201</v>
      </c>
      <c r="AI5" s="265">
        <v>55.6</v>
      </c>
    </row>
    <row r="6" spans="1:35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65"/>
      <c r="AA6" s="265"/>
      <c r="AB6" s="265"/>
      <c r="AC6" s="265"/>
      <c r="AD6" s="265" t="s">
        <v>230</v>
      </c>
      <c r="AE6" s="265">
        <v>23</v>
      </c>
      <c r="AF6" s="265"/>
      <c r="AG6" s="265"/>
      <c r="AH6" s="265" t="s">
        <v>102</v>
      </c>
      <c r="AI6" s="265">
        <v>55.5</v>
      </c>
    </row>
    <row r="7" spans="1:35" ht="12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265"/>
      <c r="AG7" s="265"/>
      <c r="AH7" s="265" t="s">
        <v>237</v>
      </c>
      <c r="AI7" s="265">
        <v>54.4</v>
      </c>
    </row>
    <row r="8" spans="1:35" ht="18.75" customHeight="1" x14ac:dyDescent="0.25">
      <c r="A8" s="1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1"/>
      <c r="Z8" s="1"/>
      <c r="AA8" s="1"/>
      <c r="AB8" s="1"/>
      <c r="AC8" s="1"/>
      <c r="AD8" s="1"/>
      <c r="AE8" s="1"/>
      <c r="AF8" s="265"/>
      <c r="AG8" s="265"/>
      <c r="AH8" s="265" t="s">
        <v>72</v>
      </c>
      <c r="AI8" s="265">
        <v>52.1</v>
      </c>
    </row>
    <row r="9" spans="1:35" ht="24" customHeight="1" x14ac:dyDescent="0.25">
      <c r="A9" s="1"/>
      <c r="B9" s="217" t="s">
        <v>496</v>
      </c>
      <c r="C9" s="217"/>
      <c r="D9" s="217"/>
      <c r="E9" s="217"/>
      <c r="F9" s="218" t="s">
        <v>497</v>
      </c>
      <c r="G9" s="218"/>
      <c r="H9" s="218"/>
      <c r="I9" s="218"/>
      <c r="J9" s="219" t="s">
        <v>498</v>
      </c>
      <c r="K9" s="219"/>
      <c r="L9" s="219"/>
      <c r="M9" s="219"/>
      <c r="N9" s="220" t="s">
        <v>125</v>
      </c>
      <c r="O9" s="220"/>
      <c r="P9" s="220"/>
      <c r="Q9" s="220"/>
      <c r="R9" s="221" t="s">
        <v>499</v>
      </c>
      <c r="S9" s="221"/>
      <c r="T9" s="221"/>
      <c r="U9" s="221"/>
      <c r="V9" s="215" t="s">
        <v>303</v>
      </c>
      <c r="W9" s="215"/>
      <c r="X9" s="215"/>
      <c r="Y9" s="1"/>
      <c r="Z9" s="1"/>
      <c r="AA9" s="1"/>
      <c r="AB9" s="1"/>
      <c r="AC9" s="1"/>
      <c r="AD9" s="1"/>
      <c r="AE9" s="1"/>
      <c r="AF9" s="265"/>
      <c r="AG9" s="265"/>
      <c r="AH9" s="265" t="s">
        <v>164</v>
      </c>
      <c r="AI9" s="265">
        <v>52</v>
      </c>
    </row>
    <row r="10" spans="1:35" ht="7.5" customHeight="1" x14ac:dyDescent="0.25">
      <c r="A10" s="1"/>
      <c r="B10" s="216" t="s">
        <v>384</v>
      </c>
      <c r="C10" s="216"/>
      <c r="D10" s="216"/>
      <c r="E10" s="216"/>
      <c r="F10" s="216" t="s">
        <v>4</v>
      </c>
      <c r="G10" s="216"/>
      <c r="H10" s="216"/>
      <c r="I10" s="216"/>
      <c r="J10" s="216" t="s">
        <v>5</v>
      </c>
      <c r="K10" s="216"/>
      <c r="L10" s="216"/>
      <c r="M10" s="216"/>
      <c r="N10" s="216" t="s">
        <v>3</v>
      </c>
      <c r="O10" s="216"/>
      <c r="P10" s="216"/>
      <c r="Q10" s="216"/>
      <c r="R10" s="216" t="s">
        <v>500</v>
      </c>
      <c r="S10" s="216"/>
      <c r="T10" s="216"/>
      <c r="U10" s="216"/>
      <c r="V10" s="216" t="s">
        <v>501</v>
      </c>
      <c r="W10" s="216"/>
      <c r="X10" s="216"/>
      <c r="Y10" s="1"/>
      <c r="Z10" s="1"/>
      <c r="AA10" s="1"/>
      <c r="AB10" s="1"/>
      <c r="AC10" s="1"/>
      <c r="AD10" s="1"/>
      <c r="AE10" s="1"/>
      <c r="AF10" s="265"/>
      <c r="AG10" s="265"/>
      <c r="AH10" s="265"/>
      <c r="AI10" s="265"/>
    </row>
    <row r="11" spans="1:35" ht="24" customHeight="1" x14ac:dyDescent="0.25">
      <c r="A11" s="1"/>
      <c r="B11" s="222" t="s">
        <v>502</v>
      </c>
      <c r="C11" s="222"/>
      <c r="D11" s="222"/>
      <c r="E11" s="222"/>
      <c r="F11" s="222" t="s">
        <v>503</v>
      </c>
      <c r="G11" s="222"/>
      <c r="H11" s="222"/>
      <c r="I11" s="222"/>
      <c r="J11" s="222" t="s">
        <v>504</v>
      </c>
      <c r="K11" s="222"/>
      <c r="L11" s="222"/>
      <c r="M11" s="222"/>
      <c r="N11" s="222" t="s">
        <v>505</v>
      </c>
      <c r="O11" s="222"/>
      <c r="P11" s="222"/>
      <c r="Q11" s="222"/>
      <c r="R11" s="222" t="s">
        <v>506</v>
      </c>
      <c r="S11" s="222"/>
      <c r="T11" s="222"/>
      <c r="U11" s="222"/>
      <c r="V11" s="222" t="s">
        <v>507</v>
      </c>
      <c r="W11" s="222"/>
      <c r="X11" s="222"/>
      <c r="Y11" s="1"/>
      <c r="Z11" s="1"/>
      <c r="AA11" s="1"/>
      <c r="AB11" s="1"/>
      <c r="AC11" s="1"/>
      <c r="AD11" s="1"/>
      <c r="AE11" s="1"/>
    </row>
    <row r="12" spans="1:35" ht="7.5" customHeight="1" x14ac:dyDescent="0.25">
      <c r="A12" s="1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1"/>
      <c r="Z12" s="1"/>
      <c r="AA12" s="1"/>
      <c r="AB12" s="1"/>
      <c r="AC12" s="1"/>
      <c r="AD12" s="1"/>
      <c r="AE12" s="1"/>
    </row>
    <row r="13" spans="1:35" ht="3.75" customHeight="1" x14ac:dyDescent="0.25">
      <c r="A13" s="1"/>
      <c r="B13" s="227"/>
      <c r="C13" s="227"/>
      <c r="D13" s="227"/>
      <c r="E13" s="227"/>
      <c r="F13" s="228"/>
      <c r="G13" s="228"/>
      <c r="H13" s="228"/>
      <c r="I13" s="228"/>
      <c r="J13" s="229"/>
      <c r="K13" s="229"/>
      <c r="L13" s="229"/>
      <c r="M13" s="229"/>
      <c r="N13" s="230"/>
      <c r="O13" s="230"/>
      <c r="P13" s="230"/>
      <c r="Q13" s="230"/>
      <c r="R13" s="231"/>
      <c r="S13" s="231"/>
      <c r="T13" s="231"/>
      <c r="U13" s="231"/>
      <c r="V13" s="223"/>
      <c r="W13" s="223"/>
      <c r="X13" s="223"/>
      <c r="Y13" s="1"/>
      <c r="Z13" s="1"/>
      <c r="AA13" s="1"/>
      <c r="AB13" s="1"/>
      <c r="AC13" s="1"/>
      <c r="AD13" s="1"/>
      <c r="AE13" s="1"/>
    </row>
    <row r="14" spans="1:35" ht="9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5" ht="21.75" customHeight="1" x14ac:dyDescent="0.25">
      <c r="A15" s="1"/>
      <c r="B15" s="224" t="s">
        <v>508</v>
      </c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1"/>
      <c r="Z15" s="1"/>
      <c r="AA15" s="1"/>
      <c r="AB15" s="1"/>
      <c r="AC15" s="1"/>
      <c r="AD15" s="1"/>
      <c r="AE15" s="1"/>
    </row>
    <row r="16" spans="1:35" ht="4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8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8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8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8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8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8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8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8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8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8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8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8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8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8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8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21.75" customHeight="1" x14ac:dyDescent="0.25">
      <c r="A53" s="1"/>
      <c r="B53" s="225" t="s">
        <v>509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1"/>
      <c r="Z53" s="1"/>
      <c r="AA53" s="1"/>
      <c r="AB53" s="1"/>
      <c r="AC53" s="1"/>
      <c r="AD53" s="1"/>
      <c r="AE53" s="1"/>
    </row>
    <row r="54" spans="1:31" ht="4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1.75" customHeight="1" x14ac:dyDescent="0.25">
      <c r="A55" s="1"/>
      <c r="B55" s="2" t="s">
        <v>89</v>
      </c>
      <c r="C55" s="2" t="s">
        <v>90</v>
      </c>
      <c r="D55" s="1"/>
      <c r="E55" s="1"/>
      <c r="F55" s="1"/>
      <c r="G55" s="2" t="s">
        <v>49</v>
      </c>
      <c r="H55" s="1"/>
      <c r="I55" s="2" t="s">
        <v>91</v>
      </c>
      <c r="J55" s="1"/>
      <c r="K55" s="2" t="s">
        <v>92</v>
      </c>
      <c r="L55" s="1"/>
      <c r="M55" s="2" t="s">
        <v>51</v>
      </c>
      <c r="N55" s="1"/>
      <c r="O55" s="2" t="s">
        <v>50</v>
      </c>
      <c r="P55" s="1"/>
      <c r="Q55" s="2" t="s">
        <v>96</v>
      </c>
      <c r="R55" s="1"/>
      <c r="S55" s="2" t="s">
        <v>346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8" customHeight="1" x14ac:dyDescent="0.25">
      <c r="A56" s="1"/>
      <c r="B56" s="3">
        <v>1</v>
      </c>
      <c r="C56" s="3" t="s">
        <v>74</v>
      </c>
      <c r="D56" s="1"/>
      <c r="E56" s="1"/>
      <c r="F56" s="1"/>
      <c r="G56" s="3" t="s">
        <v>55</v>
      </c>
      <c r="H56" s="1"/>
      <c r="I56" s="3" t="s">
        <v>201</v>
      </c>
      <c r="J56" s="1"/>
      <c r="K56" s="3" t="s">
        <v>191</v>
      </c>
      <c r="L56" s="1"/>
      <c r="M56" s="4" t="s">
        <v>4</v>
      </c>
      <c r="N56" s="1"/>
      <c r="O56" s="5" t="s">
        <v>63</v>
      </c>
      <c r="P56" s="1"/>
      <c r="Q56" s="3" t="s">
        <v>161</v>
      </c>
      <c r="R56" s="1"/>
      <c r="S56" s="3" t="s">
        <v>510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8" customHeight="1" x14ac:dyDescent="0.25">
      <c r="A57" s="1"/>
      <c r="B57" s="6">
        <v>2</v>
      </c>
      <c r="C57" s="6" t="s">
        <v>57</v>
      </c>
      <c r="D57" s="1"/>
      <c r="E57" s="1"/>
      <c r="F57" s="1"/>
      <c r="G57" s="6" t="s">
        <v>67</v>
      </c>
      <c r="H57" s="1"/>
      <c r="I57" s="6" t="s">
        <v>154</v>
      </c>
      <c r="J57" s="1"/>
      <c r="K57" s="6" t="s">
        <v>191</v>
      </c>
      <c r="L57" s="1"/>
      <c r="M57" s="4" t="s">
        <v>4</v>
      </c>
      <c r="N57" s="1"/>
      <c r="O57" s="7" t="s">
        <v>73</v>
      </c>
      <c r="P57" s="1"/>
      <c r="Q57" s="6" t="s">
        <v>250</v>
      </c>
      <c r="R57" s="1"/>
      <c r="S57" s="6" t="s">
        <v>510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8" customHeight="1" x14ac:dyDescent="0.25">
      <c r="A58" s="1"/>
      <c r="B58" s="3">
        <v>3</v>
      </c>
      <c r="C58" s="3" t="s">
        <v>74</v>
      </c>
      <c r="D58" s="1"/>
      <c r="E58" s="1"/>
      <c r="F58" s="1"/>
      <c r="G58" s="3" t="s">
        <v>77</v>
      </c>
      <c r="H58" s="1"/>
      <c r="I58" s="3" t="s">
        <v>116</v>
      </c>
      <c r="J58" s="1"/>
      <c r="K58" s="3" t="s">
        <v>191</v>
      </c>
      <c r="L58" s="1"/>
      <c r="M58" s="8" t="s">
        <v>5</v>
      </c>
      <c r="N58" s="1"/>
      <c r="O58" s="4" t="s">
        <v>106</v>
      </c>
      <c r="P58" s="1"/>
      <c r="Q58" s="3" t="s">
        <v>168</v>
      </c>
      <c r="R58" s="1"/>
      <c r="S58" s="3" t="s">
        <v>511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8" customHeight="1" x14ac:dyDescent="0.25">
      <c r="A59" s="1"/>
      <c r="B59" s="6">
        <v>4</v>
      </c>
      <c r="C59" s="6" t="s">
        <v>60</v>
      </c>
      <c r="D59" s="1"/>
      <c r="E59" s="1"/>
      <c r="F59" s="1"/>
      <c r="G59" s="6" t="s">
        <v>55</v>
      </c>
      <c r="H59" s="1"/>
      <c r="I59" s="6" t="s">
        <v>261</v>
      </c>
      <c r="J59" s="1"/>
      <c r="K59" s="6" t="s">
        <v>230</v>
      </c>
      <c r="L59" s="1"/>
      <c r="M59" s="4" t="s">
        <v>4</v>
      </c>
      <c r="N59" s="1"/>
      <c r="O59" s="4" t="s">
        <v>106</v>
      </c>
      <c r="P59" s="1"/>
      <c r="Q59" s="6" t="s">
        <v>197</v>
      </c>
      <c r="R59" s="1"/>
      <c r="S59" s="6" t="s">
        <v>511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8" customHeight="1" x14ac:dyDescent="0.25">
      <c r="A60" s="1"/>
      <c r="B60" s="3">
        <v>5</v>
      </c>
      <c r="C60" s="3" t="s">
        <v>512</v>
      </c>
      <c r="D60" s="1"/>
      <c r="E60" s="1"/>
      <c r="F60" s="1"/>
      <c r="G60" s="3" t="s">
        <v>55</v>
      </c>
      <c r="H60" s="1"/>
      <c r="I60" s="3" t="s">
        <v>201</v>
      </c>
      <c r="J60" s="1"/>
      <c r="K60" s="3" t="s">
        <v>129</v>
      </c>
      <c r="L60" s="1"/>
      <c r="M60" s="8" t="s">
        <v>5</v>
      </c>
      <c r="N60" s="1"/>
      <c r="O60" s="8" t="s">
        <v>56</v>
      </c>
      <c r="P60" s="1"/>
      <c r="Q60" s="3" t="s">
        <v>168</v>
      </c>
      <c r="R60" s="1"/>
      <c r="S60" s="3" t="s">
        <v>513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8" customHeight="1" x14ac:dyDescent="0.25">
      <c r="A61" s="1"/>
      <c r="B61" s="6">
        <v>6</v>
      </c>
      <c r="C61" s="6" t="s">
        <v>514</v>
      </c>
      <c r="D61" s="1"/>
      <c r="E61" s="1"/>
      <c r="F61" s="1"/>
      <c r="G61" s="6" t="s">
        <v>67</v>
      </c>
      <c r="H61" s="1"/>
      <c r="I61" s="6" t="s">
        <v>128</v>
      </c>
      <c r="J61" s="1"/>
      <c r="K61" s="6" t="s">
        <v>103</v>
      </c>
      <c r="L61" s="1"/>
      <c r="M61" s="8" t="s">
        <v>5</v>
      </c>
      <c r="N61" s="1"/>
      <c r="O61" s="8" t="s">
        <v>56</v>
      </c>
      <c r="P61" s="1"/>
      <c r="Q61" s="6" t="s">
        <v>168</v>
      </c>
      <c r="R61" s="1"/>
      <c r="S61" s="6" t="s">
        <v>515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8" customHeight="1" x14ac:dyDescent="0.25">
      <c r="A62" s="1"/>
      <c r="B62" s="3">
        <v>7</v>
      </c>
      <c r="C62" s="3" t="s">
        <v>74</v>
      </c>
      <c r="D62" s="1"/>
      <c r="E62" s="1"/>
      <c r="F62" s="1"/>
      <c r="G62" s="3" t="s">
        <v>77</v>
      </c>
      <c r="H62" s="1"/>
      <c r="I62" s="3" t="s">
        <v>154</v>
      </c>
      <c r="J62" s="1"/>
      <c r="K62" s="3" t="s">
        <v>191</v>
      </c>
      <c r="L62" s="1"/>
      <c r="M62" s="8" t="s">
        <v>5</v>
      </c>
      <c r="N62" s="1"/>
      <c r="O62" s="8" t="s">
        <v>56</v>
      </c>
      <c r="P62" s="1"/>
      <c r="Q62" s="3" t="s">
        <v>168</v>
      </c>
      <c r="R62" s="1"/>
      <c r="S62" s="3" t="s">
        <v>515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8" customHeight="1" x14ac:dyDescent="0.25">
      <c r="A63" s="1"/>
      <c r="B63" s="6">
        <v>8</v>
      </c>
      <c r="C63" s="6" t="s">
        <v>60</v>
      </c>
      <c r="D63" s="1"/>
      <c r="E63" s="1"/>
      <c r="F63" s="1"/>
      <c r="G63" s="6" t="s">
        <v>55</v>
      </c>
      <c r="H63" s="1"/>
      <c r="I63" s="6" t="s">
        <v>116</v>
      </c>
      <c r="J63" s="1"/>
      <c r="K63" s="6" t="s">
        <v>230</v>
      </c>
      <c r="L63" s="1"/>
      <c r="M63" s="8" t="s">
        <v>5</v>
      </c>
      <c r="N63" s="1"/>
      <c r="O63" s="5" t="s">
        <v>63</v>
      </c>
      <c r="P63" s="1"/>
      <c r="Q63" s="6" t="s">
        <v>168</v>
      </c>
      <c r="R63" s="1"/>
      <c r="S63" s="6" t="s">
        <v>516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8" customHeight="1" x14ac:dyDescent="0.25">
      <c r="A64" s="1"/>
      <c r="B64" s="3">
        <v>9</v>
      </c>
      <c r="C64" s="3" t="s">
        <v>517</v>
      </c>
      <c r="D64" s="1"/>
      <c r="E64" s="1"/>
      <c r="F64" s="1"/>
      <c r="G64" s="3" t="s">
        <v>55</v>
      </c>
      <c r="H64" s="1"/>
      <c r="I64" s="3" t="s">
        <v>128</v>
      </c>
      <c r="J64" s="1"/>
      <c r="K64" s="3" t="s">
        <v>146</v>
      </c>
      <c r="L64" s="1"/>
      <c r="M64" s="4" t="s">
        <v>4</v>
      </c>
      <c r="N64" s="1"/>
      <c r="O64" s="4" t="s">
        <v>106</v>
      </c>
      <c r="P64" s="1"/>
      <c r="Q64" s="3" t="s">
        <v>197</v>
      </c>
      <c r="R64" s="1"/>
      <c r="S64" s="3" t="s">
        <v>516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8" customHeight="1" x14ac:dyDescent="0.25">
      <c r="A65" s="1"/>
      <c r="B65" s="6">
        <v>10</v>
      </c>
      <c r="C65" s="6" t="s">
        <v>60</v>
      </c>
      <c r="D65" s="1"/>
      <c r="E65" s="1"/>
      <c r="F65" s="1"/>
      <c r="G65" s="6" t="s">
        <v>77</v>
      </c>
      <c r="H65" s="1"/>
      <c r="I65" s="6" t="s">
        <v>195</v>
      </c>
      <c r="J65" s="1"/>
      <c r="K65" s="6" t="s">
        <v>230</v>
      </c>
      <c r="L65" s="1"/>
      <c r="M65" s="8" t="s">
        <v>5</v>
      </c>
      <c r="N65" s="1"/>
      <c r="O65" s="5" t="s">
        <v>63</v>
      </c>
      <c r="P65" s="1"/>
      <c r="Q65" s="6" t="s">
        <v>168</v>
      </c>
      <c r="R65" s="1"/>
      <c r="S65" s="6" t="s">
        <v>516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8" customHeight="1" x14ac:dyDescent="0.25">
      <c r="A66" s="1"/>
      <c r="B66" s="3">
        <v>11</v>
      </c>
      <c r="C66" s="3" t="s">
        <v>78</v>
      </c>
      <c r="D66" s="1"/>
      <c r="E66" s="1"/>
      <c r="F66" s="1"/>
      <c r="G66" s="3" t="s">
        <v>67</v>
      </c>
      <c r="H66" s="1"/>
      <c r="I66" s="3" t="s">
        <v>261</v>
      </c>
      <c r="J66" s="1"/>
      <c r="K66" s="3" t="s">
        <v>230</v>
      </c>
      <c r="L66" s="1"/>
      <c r="M66" s="4" t="s">
        <v>4</v>
      </c>
      <c r="N66" s="1"/>
      <c r="O66" s="5" t="s">
        <v>63</v>
      </c>
      <c r="P66" s="1"/>
      <c r="Q66" s="3" t="s">
        <v>250</v>
      </c>
      <c r="R66" s="1"/>
      <c r="S66" s="3" t="s">
        <v>518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8" customHeight="1" x14ac:dyDescent="0.25">
      <c r="A67" s="1"/>
      <c r="B67" s="6">
        <v>12</v>
      </c>
      <c r="C67" s="6" t="s">
        <v>60</v>
      </c>
      <c r="D67" s="1"/>
      <c r="E67" s="1"/>
      <c r="F67" s="1"/>
      <c r="G67" s="6" t="s">
        <v>55</v>
      </c>
      <c r="H67" s="1"/>
      <c r="I67" s="6" t="s">
        <v>261</v>
      </c>
      <c r="J67" s="1"/>
      <c r="K67" s="6" t="s">
        <v>230</v>
      </c>
      <c r="L67" s="1"/>
      <c r="M67" s="4" t="s">
        <v>4</v>
      </c>
      <c r="N67" s="1"/>
      <c r="O67" s="5" t="s">
        <v>63</v>
      </c>
      <c r="P67" s="1"/>
      <c r="Q67" s="6" t="s">
        <v>222</v>
      </c>
      <c r="R67" s="1"/>
      <c r="S67" s="6" t="s">
        <v>518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8" customHeight="1" x14ac:dyDescent="0.25">
      <c r="A68" s="1"/>
      <c r="B68" s="3">
        <v>13</v>
      </c>
      <c r="C68" s="3" t="s">
        <v>52</v>
      </c>
      <c r="D68" s="1"/>
      <c r="E68" s="1"/>
      <c r="F68" s="1"/>
      <c r="G68" s="3" t="s">
        <v>55</v>
      </c>
      <c r="H68" s="1"/>
      <c r="I68" s="3" t="s">
        <v>140</v>
      </c>
      <c r="J68" s="1"/>
      <c r="K68" s="3" t="s">
        <v>103</v>
      </c>
      <c r="L68" s="1"/>
      <c r="M68" s="4" t="s">
        <v>4</v>
      </c>
      <c r="N68" s="1"/>
      <c r="O68" s="5" t="s">
        <v>63</v>
      </c>
      <c r="P68" s="1"/>
      <c r="Q68" s="3" t="s">
        <v>161</v>
      </c>
      <c r="R68" s="1"/>
      <c r="S68" s="3" t="s">
        <v>518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8" customHeight="1" x14ac:dyDescent="0.25">
      <c r="A69" s="1"/>
      <c r="B69" s="6">
        <v>14</v>
      </c>
      <c r="C69" s="6" t="s">
        <v>512</v>
      </c>
      <c r="D69" s="1"/>
      <c r="E69" s="1"/>
      <c r="F69" s="1"/>
      <c r="G69" s="6" t="s">
        <v>55</v>
      </c>
      <c r="H69" s="1"/>
      <c r="I69" s="6" t="s">
        <v>176</v>
      </c>
      <c r="J69" s="1"/>
      <c r="K69" s="6" t="s">
        <v>129</v>
      </c>
      <c r="L69" s="1"/>
      <c r="M69" s="4" t="s">
        <v>4</v>
      </c>
      <c r="N69" s="1"/>
      <c r="O69" s="7" t="s">
        <v>73</v>
      </c>
      <c r="P69" s="1"/>
      <c r="Q69" s="6" t="s">
        <v>197</v>
      </c>
      <c r="R69" s="1"/>
      <c r="S69" s="6" t="s">
        <v>518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8" customHeight="1" x14ac:dyDescent="0.25">
      <c r="A70" s="1"/>
      <c r="B70" s="3">
        <v>15</v>
      </c>
      <c r="C70" s="3" t="s">
        <v>78</v>
      </c>
      <c r="D70" s="1"/>
      <c r="E70" s="1"/>
      <c r="F70" s="1"/>
      <c r="G70" s="3" t="s">
        <v>86</v>
      </c>
      <c r="H70" s="1"/>
      <c r="I70" s="3" t="s">
        <v>72</v>
      </c>
      <c r="J70" s="1"/>
      <c r="K70" s="3" t="s">
        <v>230</v>
      </c>
      <c r="L70" s="1"/>
      <c r="M70" s="8" t="s">
        <v>5</v>
      </c>
      <c r="N70" s="1"/>
      <c r="O70" s="4" t="s">
        <v>106</v>
      </c>
      <c r="P70" s="1"/>
      <c r="Q70" s="3" t="s">
        <v>168</v>
      </c>
      <c r="R70" s="1"/>
      <c r="S70" s="3" t="s">
        <v>519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8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9.5" customHeight="1" x14ac:dyDescent="0.25">
      <c r="A72" s="1"/>
      <c r="B72" s="226" t="s">
        <v>520</v>
      </c>
      <c r="C72" s="226"/>
      <c r="D72" s="226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1"/>
      <c r="Z72" s="1"/>
      <c r="AA72" s="1"/>
      <c r="AB72" s="1"/>
      <c r="AC72" s="1"/>
      <c r="AD72" s="1"/>
      <c r="AE72" s="1"/>
    </row>
    <row r="73" spans="1:31" ht="18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8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8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8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8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8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8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</sheetData>
  <mergeCells count="41">
    <mergeCell ref="V13:X13"/>
    <mergeCell ref="B15:X15"/>
    <mergeCell ref="B53:X53"/>
    <mergeCell ref="B72:X72"/>
    <mergeCell ref="B13:E13"/>
    <mergeCell ref="F13:I13"/>
    <mergeCell ref="J13:M13"/>
    <mergeCell ref="N13:Q13"/>
    <mergeCell ref="R13:U13"/>
    <mergeCell ref="V11:X11"/>
    <mergeCell ref="B12:E12"/>
    <mergeCell ref="F12:I12"/>
    <mergeCell ref="J12:M12"/>
    <mergeCell ref="N12:Q12"/>
    <mergeCell ref="R12:U12"/>
    <mergeCell ref="V12:X12"/>
    <mergeCell ref="B11:E11"/>
    <mergeCell ref="F11:I11"/>
    <mergeCell ref="J11:M11"/>
    <mergeCell ref="N11:Q11"/>
    <mergeCell ref="R11:U11"/>
    <mergeCell ref="V9:X9"/>
    <mergeCell ref="B10:E10"/>
    <mergeCell ref="F10:I10"/>
    <mergeCell ref="J10:M10"/>
    <mergeCell ref="N10:Q10"/>
    <mergeCell ref="R10:U10"/>
    <mergeCell ref="V10:X10"/>
    <mergeCell ref="B9:E9"/>
    <mergeCell ref="F9:I9"/>
    <mergeCell ref="J9:M9"/>
    <mergeCell ref="N9:Q9"/>
    <mergeCell ref="R9:U9"/>
    <mergeCell ref="B2:X3"/>
    <mergeCell ref="B4:X5"/>
    <mergeCell ref="B8:E8"/>
    <mergeCell ref="F8:I8"/>
    <mergeCell ref="J8:M8"/>
    <mergeCell ref="N8:Q8"/>
    <mergeCell ref="R8:U8"/>
    <mergeCell ref="V8:X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.5703125" customWidth="1"/>
    <col min="2" max="2" width="16" customWidth="1"/>
    <col min="3" max="3" width="3" customWidth="1"/>
    <col min="4" max="4" width="16" customWidth="1"/>
    <col min="5" max="5" width="3" customWidth="1"/>
    <col min="6" max="6" width="16" customWidth="1"/>
    <col min="7" max="7" width="3" customWidth="1"/>
    <col min="8" max="8" width="16" customWidth="1"/>
    <col min="9" max="9" width="1.5703125" customWidth="1"/>
    <col min="10" max="10" width="2" customWidth="1"/>
    <col min="11" max="11" width="18" customWidth="1"/>
    <col min="12" max="12" width="2" customWidth="1"/>
    <col min="13" max="13" width="18" customWidth="1"/>
    <col min="14" max="14" width="1.5703125" customWidth="1"/>
  </cols>
  <sheetData>
    <row r="1" spans="1:14" ht="6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36" customHeight="1" x14ac:dyDescent="0.25">
      <c r="A2" s="232" t="s">
        <v>521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1:14" ht="6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ht="16.5" customHeight="1" x14ac:dyDescent="0.25">
      <c r="A4" s="67"/>
      <c r="B4" s="233" t="s">
        <v>522</v>
      </c>
      <c r="C4" s="233"/>
      <c r="D4" s="233"/>
      <c r="E4" s="233"/>
      <c r="F4" s="233"/>
      <c r="G4" s="233"/>
      <c r="H4" s="233"/>
      <c r="I4" s="67"/>
      <c r="J4" s="67"/>
      <c r="K4" s="67"/>
      <c r="L4" s="67"/>
      <c r="M4" s="67"/>
      <c r="N4" s="67"/>
    </row>
    <row r="5" spans="1:14" ht="30" customHeight="1" x14ac:dyDescent="0.25">
      <c r="A5" s="67"/>
      <c r="B5" s="234"/>
      <c r="C5" s="234"/>
      <c r="D5" s="235"/>
      <c r="E5" s="235"/>
      <c r="F5" s="236"/>
      <c r="G5" s="236"/>
      <c r="H5" s="237"/>
      <c r="I5" s="237"/>
      <c r="J5" s="67"/>
      <c r="K5" s="238" t="s">
        <v>88</v>
      </c>
      <c r="L5" s="238"/>
      <c r="M5" s="238"/>
      <c r="N5" s="67"/>
    </row>
    <row r="6" spans="1:14" ht="18" customHeight="1" x14ac:dyDescent="0.25">
      <c r="A6" s="67"/>
      <c r="B6" s="239" t="s">
        <v>523</v>
      </c>
      <c r="C6" s="239"/>
      <c r="D6" s="239" t="s">
        <v>524</v>
      </c>
      <c r="E6" s="239"/>
      <c r="F6" s="239" t="s">
        <v>525</v>
      </c>
      <c r="G6" s="239"/>
      <c r="H6" s="239" t="s">
        <v>526</v>
      </c>
      <c r="I6" s="239"/>
      <c r="J6" s="67"/>
      <c r="K6" s="67"/>
      <c r="L6" s="67"/>
      <c r="M6" s="67"/>
      <c r="N6" s="67"/>
    </row>
    <row r="7" spans="1:14" ht="23.25" customHeight="1" x14ac:dyDescent="0.25">
      <c r="A7" s="67"/>
      <c r="B7" s="240">
        <f>'Project Overview'!A18</f>
        <v>10</v>
      </c>
      <c r="C7" s="240"/>
      <c r="D7" s="241">
        <f>'Project Overview'!B18</f>
        <v>5</v>
      </c>
      <c r="E7" s="241"/>
      <c r="F7" s="242">
        <f>'Project Overview'!C18</f>
        <v>2</v>
      </c>
      <c r="G7" s="242"/>
      <c r="H7" s="243">
        <f>'Project Overview'!D18</f>
        <v>3</v>
      </c>
      <c r="I7" s="243"/>
      <c r="J7" s="67"/>
      <c r="K7" s="67"/>
      <c r="L7" s="67"/>
      <c r="M7" s="67"/>
      <c r="N7" s="67"/>
    </row>
    <row r="8" spans="1:14" ht="7.5" customHeight="1" x14ac:dyDescent="0.25">
      <c r="A8" s="67"/>
      <c r="B8" s="244" t="s">
        <v>527</v>
      </c>
      <c r="C8" s="244"/>
      <c r="D8" s="244" t="s">
        <v>528</v>
      </c>
      <c r="E8" s="244"/>
      <c r="F8" s="244" t="s">
        <v>529</v>
      </c>
      <c r="G8" s="244"/>
      <c r="H8" s="244" t="s">
        <v>530</v>
      </c>
      <c r="I8" s="244"/>
      <c r="J8" s="67"/>
      <c r="K8" s="67"/>
      <c r="L8" s="67"/>
      <c r="M8" s="67"/>
      <c r="N8" s="67"/>
    </row>
    <row r="9" spans="1:14" ht="18" customHeight="1" x14ac:dyDescent="0.25">
      <c r="A9" s="67"/>
      <c r="B9" s="233" t="s">
        <v>531</v>
      </c>
      <c r="C9" s="233"/>
      <c r="D9" s="233"/>
      <c r="E9" s="233"/>
      <c r="F9" s="233"/>
      <c r="G9" s="233"/>
      <c r="H9" s="233"/>
      <c r="I9" s="67"/>
      <c r="J9" s="67"/>
      <c r="K9" s="67"/>
      <c r="L9" s="67"/>
      <c r="M9" s="67"/>
      <c r="N9" s="67"/>
    </row>
    <row r="10" spans="1:14" ht="30" customHeight="1" x14ac:dyDescent="0.25">
      <c r="A10" s="67"/>
      <c r="B10" s="245"/>
      <c r="C10" s="245"/>
      <c r="D10" s="234"/>
      <c r="E10" s="234"/>
      <c r="F10" s="235"/>
      <c r="G10" s="235"/>
      <c r="H10" s="236"/>
      <c r="I10" s="236"/>
      <c r="J10" s="67"/>
      <c r="K10" s="67"/>
      <c r="L10" s="67"/>
      <c r="M10" s="67"/>
      <c r="N10" s="67"/>
    </row>
    <row r="11" spans="1:14" ht="13.5" customHeight="1" x14ac:dyDescent="0.25">
      <c r="A11" s="67"/>
      <c r="B11" s="239" t="s">
        <v>532</v>
      </c>
      <c r="C11" s="239"/>
      <c r="D11" s="239" t="s">
        <v>533</v>
      </c>
      <c r="E11" s="239"/>
      <c r="F11" s="239" t="s">
        <v>534</v>
      </c>
      <c r="G11" s="239"/>
      <c r="H11" s="239" t="s">
        <v>535</v>
      </c>
      <c r="I11" s="239"/>
      <c r="J11" s="67"/>
      <c r="K11" s="67"/>
      <c r="L11" s="67"/>
      <c r="M11" s="67"/>
      <c r="N11" s="67"/>
    </row>
    <row r="12" spans="1:14" ht="20.25" customHeight="1" x14ac:dyDescent="0.25">
      <c r="A12" s="67"/>
      <c r="B12" s="246">
        <f>ROUND(SUM('Cleaned Data'!N4:N500),0)</f>
        <v>6716000</v>
      </c>
      <c r="C12" s="246"/>
      <c r="D12" s="247">
        <f>IFERROR(ROUND(AVERAGE('Cleaned Data'!N4:N500),0),0)</f>
        <v>55967</v>
      </c>
      <c r="E12" s="247"/>
      <c r="F12" s="248">
        <f>COUNTA('Resource Planner'!B4:B10)</f>
        <v>7</v>
      </c>
      <c r="G12" s="248"/>
      <c r="H12" s="249">
        <f>SUM('Resource Planner'!L4:L10)</f>
        <v>808</v>
      </c>
      <c r="I12" s="249"/>
      <c r="J12" s="67"/>
      <c r="K12" s="67"/>
      <c r="L12" s="67"/>
      <c r="M12" s="67"/>
      <c r="N12" s="67"/>
    </row>
    <row r="13" spans="1:14" ht="12" customHeight="1" x14ac:dyDescent="0.25">
      <c r="A13" s="67"/>
      <c r="B13" s="250" t="s">
        <v>536</v>
      </c>
      <c r="C13" s="250"/>
      <c r="D13" s="250" t="s">
        <v>537</v>
      </c>
      <c r="E13" s="250"/>
      <c r="F13" s="250" t="s">
        <v>538</v>
      </c>
      <c r="G13" s="250"/>
      <c r="H13" s="250" t="s">
        <v>539</v>
      </c>
      <c r="I13" s="250"/>
      <c r="J13" s="67"/>
      <c r="K13" s="67"/>
      <c r="L13" s="67"/>
      <c r="M13" s="67"/>
      <c r="N13" s="67"/>
    </row>
    <row r="14" spans="1:14" ht="18" customHeight="1" x14ac:dyDescent="0.25">
      <c r="A14" s="67"/>
      <c r="B14" s="233" t="s">
        <v>540</v>
      </c>
      <c r="C14" s="233"/>
      <c r="D14" s="233"/>
      <c r="E14" s="233"/>
      <c r="F14" s="233"/>
      <c r="G14" s="233"/>
      <c r="H14" s="233"/>
      <c r="I14" s="67"/>
      <c r="J14" s="67"/>
      <c r="K14" s="67"/>
      <c r="L14" s="67"/>
      <c r="M14" s="67"/>
      <c r="N14" s="67"/>
    </row>
    <row r="15" spans="1:14" ht="30" customHeight="1" x14ac:dyDescent="0.25">
      <c r="A15" s="67"/>
      <c r="B15" s="237"/>
      <c r="C15" s="237"/>
      <c r="D15" s="235"/>
      <c r="E15" s="235"/>
      <c r="F15" s="234"/>
      <c r="G15" s="234"/>
      <c r="H15" s="236"/>
      <c r="I15" s="236"/>
      <c r="J15" s="67"/>
      <c r="K15" s="67"/>
      <c r="L15" s="67"/>
      <c r="M15" s="67"/>
      <c r="N15" s="67"/>
    </row>
    <row r="16" spans="1:14" ht="13.5" customHeight="1" x14ac:dyDescent="0.25">
      <c r="A16" s="67"/>
      <c r="B16" s="239" t="s">
        <v>541</v>
      </c>
      <c r="C16" s="239"/>
      <c r="D16" s="239" t="s">
        <v>542</v>
      </c>
      <c r="E16" s="239"/>
      <c r="F16" s="239" t="s">
        <v>543</v>
      </c>
      <c r="G16" s="239"/>
      <c r="H16" s="239" t="s">
        <v>544</v>
      </c>
      <c r="I16" s="239"/>
      <c r="J16" s="67"/>
      <c r="K16" s="67"/>
      <c r="L16" s="67"/>
      <c r="M16" s="67"/>
      <c r="N16" s="67"/>
    </row>
    <row r="17" spans="1:14" ht="13.5" customHeight="1" x14ac:dyDescent="0.25">
      <c r="A17" s="67"/>
      <c r="B17" s="251">
        <f>COUNTIF('Task Tracker'!E4:E13,"Critical")</f>
        <v>4</v>
      </c>
      <c r="C17" s="251"/>
      <c r="D17" s="248" t="str">
        <f>TEXT('Project Overview'!E18,"0%")</f>
        <v>50%</v>
      </c>
      <c r="E17" s="248"/>
      <c r="F17" s="247">
        <f>ROUND(AVERAGE('Resource Planner'!K4:K10),0)</f>
        <v>3886</v>
      </c>
      <c r="G17" s="247"/>
      <c r="H17" s="249">
        <f>COUNTA('Gantt Chart'!C4:C13)-SUMPRODUCT((LEN('Gantt Chart'!C4:C13)=0)*1)</f>
        <v>-2</v>
      </c>
      <c r="I17" s="249"/>
      <c r="J17" s="67"/>
      <c r="K17" s="67"/>
      <c r="L17" s="67"/>
      <c r="M17" s="67"/>
      <c r="N17" s="67"/>
    </row>
    <row r="18" spans="1:14" ht="7.5" customHeight="1" x14ac:dyDescent="0.25">
      <c r="A18" s="67"/>
      <c r="B18" s="250" t="s">
        <v>545</v>
      </c>
      <c r="C18" s="250"/>
      <c r="D18" s="250" t="s">
        <v>546</v>
      </c>
      <c r="E18" s="250"/>
      <c r="F18" s="250" t="s">
        <v>547</v>
      </c>
      <c r="G18" s="250"/>
      <c r="H18" s="250" t="s">
        <v>548</v>
      </c>
      <c r="I18" s="250"/>
      <c r="J18" s="67"/>
      <c r="K18" s="67"/>
      <c r="L18" s="67"/>
      <c r="M18" s="67"/>
      <c r="N18" s="67"/>
    </row>
    <row r="19" spans="1:14" ht="18" customHeight="1" x14ac:dyDescent="0.25">
      <c r="A19" s="67"/>
      <c r="B19" s="233" t="s">
        <v>549</v>
      </c>
      <c r="C19" s="233"/>
      <c r="D19" s="233"/>
      <c r="E19" s="233"/>
      <c r="F19" s="233"/>
      <c r="G19" s="233"/>
      <c r="H19" s="233"/>
      <c r="I19" s="67"/>
      <c r="J19" s="67"/>
      <c r="K19" s="233" t="s">
        <v>550</v>
      </c>
      <c r="L19" s="233"/>
      <c r="M19" s="233"/>
      <c r="N19" s="67"/>
    </row>
    <row r="20" spans="1:14" ht="30" customHeight="1" x14ac:dyDescent="0.25">
      <c r="A20" s="67"/>
      <c r="B20" s="252" t="s">
        <v>551</v>
      </c>
      <c r="C20" s="252"/>
      <c r="D20" s="252" t="s">
        <v>552</v>
      </c>
      <c r="E20" s="252"/>
      <c r="F20" s="252" t="s">
        <v>524</v>
      </c>
      <c r="G20" s="252"/>
      <c r="H20" s="252" t="s">
        <v>553</v>
      </c>
      <c r="I20" s="252"/>
      <c r="J20" s="67"/>
      <c r="K20" s="252" t="s">
        <v>554</v>
      </c>
      <c r="L20" s="252"/>
      <c r="M20" s="68" t="s">
        <v>555</v>
      </c>
      <c r="N20" s="67"/>
    </row>
    <row r="21" spans="1:14" ht="13.5" customHeight="1" x14ac:dyDescent="0.25">
      <c r="A21" s="67"/>
      <c r="B21" s="253" t="s">
        <v>556</v>
      </c>
      <c r="C21" s="253"/>
      <c r="D21" s="254">
        <f>COUNTIF('Task Tracker'!C4:C13,"Phase 1")</f>
        <v>3</v>
      </c>
      <c r="E21" s="254"/>
      <c r="F21" s="255">
        <f>COUNTIF('Task Tracker'!C4:C13,"Phase 1")-SUMPRODUCT(('Task Tracker'!C4:C13="Phase 1")*('Task Tracker'!I4:I13&lt;&gt;"Completed"))</f>
        <v>3</v>
      </c>
      <c r="G21" s="255"/>
      <c r="H21" s="256" t="str">
        <f>IF(SUMPRODUCT(('Task Tracker'!C4:C13="Phase 1")*('Task Tracker'!I4:I13="Completed"))=COUNTIF('Task Tracker'!C4:C13,"Phase 1"),"Complete",IF(SUMPRODUCT(('Task Tracker'!C4:C13="Phase 1")*('Task Tracker'!I4:I13="Completed"))=0,"Not Started","In Progress"))</f>
        <v>Complete</v>
      </c>
      <c r="I21" s="256"/>
      <c r="J21" s="67"/>
      <c r="K21" s="257" t="str">
        <f>'Resource Planner'!B4</f>
        <v>Priya Sharma</v>
      </c>
      <c r="L21" s="257"/>
      <c r="M21" s="72" t="str">
        <f>TEXT('Resource Planner'!N4,"0%")</f>
        <v>100%</v>
      </c>
      <c r="N21" s="67"/>
    </row>
    <row r="22" spans="1:14" ht="13.5" customHeight="1" x14ac:dyDescent="0.25">
      <c r="A22" s="67"/>
      <c r="B22" s="253" t="s">
        <v>557</v>
      </c>
      <c r="C22" s="253"/>
      <c r="D22" s="254">
        <f>COUNTIF('Task Tracker'!C4:C13,"Phase 2")</f>
        <v>3</v>
      </c>
      <c r="E22" s="254"/>
      <c r="F22" s="258">
        <f>SUMPRODUCT(('Task Tracker'!C4:C13="Phase 2")*('Task Tracker'!I4:I13="Completed"))</f>
        <v>2</v>
      </c>
      <c r="G22" s="258"/>
      <c r="H22" s="259" t="str">
        <f>IF(SUMPRODUCT(('Task Tracker'!C4:C13="Phase 2")*('Task Tracker'!I4:I13="Completed"))=COUNTIF('Task Tracker'!C4:C13,"Phase 2"),"Complete",IF(SUMPRODUCT(('Task Tracker'!C4:C13="Phase 2")*('Task Tracker'!I4:I13="Completed"))=0,"Not Started","In Progress"))</f>
        <v>In Progress</v>
      </c>
      <c r="I22" s="259"/>
      <c r="J22" s="67"/>
      <c r="K22" s="257" t="str">
        <f>'Resource Planner'!B5</f>
        <v>Rahul Mehta</v>
      </c>
      <c r="L22" s="257"/>
      <c r="M22" s="72" t="str">
        <f>TEXT('Resource Planner'!N5,"0%")</f>
        <v>83%</v>
      </c>
      <c r="N22" s="67"/>
    </row>
    <row r="23" spans="1:14" ht="10.5" customHeight="1" x14ac:dyDescent="0.25">
      <c r="A23" s="67"/>
      <c r="B23" s="253" t="s">
        <v>558</v>
      </c>
      <c r="C23" s="253"/>
      <c r="D23" s="254">
        <f>COUNTIF('Task Tracker'!C4:C13,"Phase 3")</f>
        <v>3</v>
      </c>
      <c r="E23" s="254"/>
      <c r="F23" s="260">
        <f>SUMPRODUCT(('Task Tracker'!C4:C13="Phase 3")*('Task Tracker'!I4:I13="Completed"))</f>
        <v>0</v>
      </c>
      <c r="G23" s="260"/>
      <c r="H23" s="261" t="str">
        <f>IF(SUMPRODUCT(('Task Tracker'!C4:C13="Phase 3")*('Task Tracker'!I4:I13="Completed"))=COUNTIF('Task Tracker'!C4:C13,"Phase 3"),"Complete",IF(SUMPRODUCT(('Task Tracker'!C4:C13="Phase 3")*('Task Tracker'!I4:I13="Completed"))=0,"Not Started","In Progress"))</f>
        <v>Not Started</v>
      </c>
      <c r="I23" s="261"/>
      <c r="J23" s="67"/>
      <c r="K23" s="257" t="str">
        <f>'Resource Planner'!B6</f>
        <v>Amit Roy</v>
      </c>
      <c r="L23" s="257"/>
      <c r="M23" s="72" t="str">
        <f>TEXT('Resource Planner'!N6,"0%")</f>
        <v>95%</v>
      </c>
      <c r="N23" s="67"/>
    </row>
    <row r="24" spans="1:14" ht="9.75" customHeight="1" x14ac:dyDescent="0.25">
      <c r="A24" s="67"/>
      <c r="B24" s="253" t="s">
        <v>559</v>
      </c>
      <c r="C24" s="253"/>
      <c r="D24" s="254">
        <f>COUNTIF('Task Tracker'!C4:C13,"Phase 4")</f>
        <v>1</v>
      </c>
      <c r="E24" s="254"/>
      <c r="F24" s="263">
        <f>SUMPRODUCT(('Task Tracker'!C4:C13="Phase 4")*('Task Tracker'!I4:I13="Completed"))</f>
        <v>0</v>
      </c>
      <c r="G24" s="263"/>
      <c r="H24" s="264" t="str">
        <f>IF(SUMPRODUCT(('Task Tracker'!C4:C13="Phase 4")*('Task Tracker'!I4:I13="Completed"))=COUNTIF('Task Tracker'!C4:C13,"Phase 4"),"Complete",IF(SUMPRODUCT(('Task Tracker'!C4:C13="Phase 4")*('Task Tracker'!I4:I13="Completed"))=0,"Not Started","In Progress"))</f>
        <v>Not Started</v>
      </c>
      <c r="I24" s="264"/>
      <c r="J24" s="67"/>
      <c r="K24" s="257" t="str">
        <f>'Resource Planner'!B7</f>
        <v>Sunita Verma</v>
      </c>
      <c r="L24" s="257"/>
      <c r="M24" s="72" t="str">
        <f>TEXT('Resource Planner'!N7,"0%")</f>
        <v>71%</v>
      </c>
      <c r="N24" s="67"/>
    </row>
    <row r="25" spans="1:14" ht="21.75" customHeight="1" x14ac:dyDescent="0.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257" t="str">
        <f>'Resource Planner'!B8</f>
        <v>Karan Malhotra</v>
      </c>
      <c r="L25" s="257"/>
      <c r="M25" s="72" t="str">
        <f>TEXT('Resource Planner'!N8,"0%")</f>
        <v>48%</v>
      </c>
      <c r="N25" s="67"/>
    </row>
    <row r="26" spans="1:14" ht="18" customHeight="1" x14ac:dyDescent="0.2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257" t="str">
        <f>'Resource Planner'!B9</f>
        <v>Deepa Krishnan</v>
      </c>
      <c r="L26" s="257"/>
      <c r="M26" s="72" t="str">
        <f>TEXT('Resource Planner'!N9,"0%")</f>
        <v>48%</v>
      </c>
      <c r="N26" s="67"/>
    </row>
    <row r="27" spans="1:14" ht="18" customHeight="1" x14ac:dyDescent="0.2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257" t="str">
        <f>'Resource Planner'!B10</f>
        <v>Neha Joshi</v>
      </c>
      <c r="L27" s="257"/>
      <c r="M27" s="72" t="str">
        <f>TEXT('Resource Planner'!N10,"0%")</f>
        <v>36%</v>
      </c>
      <c r="N27" s="67"/>
    </row>
    <row r="28" spans="1:14" ht="18" customHeight="1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1:14" ht="18" customHeight="1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 spans="1:14" ht="18" customHeight="1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spans="1:14" ht="18" customHeight="1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 spans="1:14" ht="18" customHeight="1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 spans="1:14" ht="9.75" customHeight="1" x14ac:dyDescent="0.25">
      <c r="A33" s="262" t="s">
        <v>560</v>
      </c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</row>
    <row r="34" spans="1:14" ht="15" customHeight="1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</row>
    <row r="35" spans="1:14" ht="1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</row>
    <row r="36" spans="1:14" ht="15" customHeight="1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14" ht="15" customHeight="1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 spans="1:14" ht="15" customHeight="1" x14ac:dyDescent="0.25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 spans="1:14" ht="15" customHeight="1" x14ac:dyDescent="0.2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14" ht="15" customHeight="1" x14ac:dyDescent="0.2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14" ht="1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 spans="1:14" ht="15" customHeight="1" x14ac:dyDescent="0.25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 spans="1:14" ht="15" customHeight="1" x14ac:dyDescent="0.25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spans="1:14" ht="1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</sheetData>
  <mergeCells count="84">
    <mergeCell ref="K25:L25"/>
    <mergeCell ref="K26:L26"/>
    <mergeCell ref="K27:L27"/>
    <mergeCell ref="A33:N33"/>
    <mergeCell ref="B24:C24"/>
    <mergeCell ref="D24:E24"/>
    <mergeCell ref="F24:G24"/>
    <mergeCell ref="H24:I24"/>
    <mergeCell ref="K24:L24"/>
    <mergeCell ref="B23:C23"/>
    <mergeCell ref="D23:E23"/>
    <mergeCell ref="F23:G23"/>
    <mergeCell ref="H23:I23"/>
    <mergeCell ref="K23:L23"/>
    <mergeCell ref="B22:C22"/>
    <mergeCell ref="D22:E22"/>
    <mergeCell ref="F22:G22"/>
    <mergeCell ref="H22:I22"/>
    <mergeCell ref="K22:L22"/>
    <mergeCell ref="B21:C21"/>
    <mergeCell ref="D21:E21"/>
    <mergeCell ref="F21:G21"/>
    <mergeCell ref="H21:I21"/>
    <mergeCell ref="K21:L21"/>
    <mergeCell ref="K19:M19"/>
    <mergeCell ref="B20:C20"/>
    <mergeCell ref="D20:E20"/>
    <mergeCell ref="F20:G20"/>
    <mergeCell ref="H20:I20"/>
    <mergeCell ref="K20:L20"/>
    <mergeCell ref="B18:C18"/>
    <mergeCell ref="D18:E18"/>
    <mergeCell ref="F18:G18"/>
    <mergeCell ref="H18:I18"/>
    <mergeCell ref="B19:H19"/>
    <mergeCell ref="B16:C16"/>
    <mergeCell ref="D16:E16"/>
    <mergeCell ref="F16:G16"/>
    <mergeCell ref="H16:I16"/>
    <mergeCell ref="B17:C17"/>
    <mergeCell ref="D17:E17"/>
    <mergeCell ref="F17:G17"/>
    <mergeCell ref="H17:I17"/>
    <mergeCell ref="B14:H14"/>
    <mergeCell ref="B15:C15"/>
    <mergeCell ref="D15:E15"/>
    <mergeCell ref="F15:G15"/>
    <mergeCell ref="H15:I15"/>
    <mergeCell ref="B12:C12"/>
    <mergeCell ref="D12:E12"/>
    <mergeCell ref="F12:G12"/>
    <mergeCell ref="H12:I12"/>
    <mergeCell ref="B13:C13"/>
    <mergeCell ref="D13:E13"/>
    <mergeCell ref="F13:G13"/>
    <mergeCell ref="H13:I13"/>
    <mergeCell ref="B10:C10"/>
    <mergeCell ref="D10:E10"/>
    <mergeCell ref="F10:G10"/>
    <mergeCell ref="H10:I10"/>
    <mergeCell ref="B11:C11"/>
    <mergeCell ref="D11:E11"/>
    <mergeCell ref="F11:G11"/>
    <mergeCell ref="H11:I11"/>
    <mergeCell ref="B8:C8"/>
    <mergeCell ref="D8:E8"/>
    <mergeCell ref="F8:G8"/>
    <mergeCell ref="H8:I8"/>
    <mergeCell ref="B9:H9"/>
    <mergeCell ref="B6:C6"/>
    <mergeCell ref="D6:E6"/>
    <mergeCell ref="F6:G6"/>
    <mergeCell ref="H6:I6"/>
    <mergeCell ref="B7:C7"/>
    <mergeCell ref="D7:E7"/>
    <mergeCell ref="F7:G7"/>
    <mergeCell ref="H7:I7"/>
    <mergeCell ref="A2:N2"/>
    <mergeCell ref="B4:H4"/>
    <mergeCell ref="B5:C5"/>
    <mergeCell ref="D5:E5"/>
    <mergeCell ref="F5:G5"/>
    <mergeCell ref="H5:I5"/>
    <mergeCell ref="K5:M5"/>
  </mergeCells>
  <hyperlinks>
    <hyperlink ref="K5" location="'Project Overview'!A1" display="← Back to Project Overview" xr:uid="{00000000-0004-0000-0900-000000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Welcome</vt:lpstr>
      <vt:lpstr>Project Overview</vt:lpstr>
      <vt:lpstr>Raw Data</vt:lpstr>
      <vt:lpstr>Cleaned Data</vt:lpstr>
      <vt:lpstr>Gantt Chart</vt:lpstr>
      <vt:lpstr>Resource Planner</vt:lpstr>
      <vt:lpstr>Task Tracker</vt:lpstr>
      <vt:lpstr>Checklist</vt:lpstr>
      <vt:lpstr> Dashboard</vt:lpstr>
      <vt:lpstr>Dashboard_1</vt:lpstr>
      <vt:lpstr>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Anudip</cp:lastModifiedBy>
  <cp:revision>8</cp:revision>
  <dcterms:created xsi:type="dcterms:W3CDTF">2026-05-19T06:36:09Z</dcterms:created>
  <dcterms:modified xsi:type="dcterms:W3CDTF">2026-05-29T04:35:21Z</dcterms:modified>
  <cp:category/>
  <cp:contentStatus/>
</cp:coreProperties>
</file>