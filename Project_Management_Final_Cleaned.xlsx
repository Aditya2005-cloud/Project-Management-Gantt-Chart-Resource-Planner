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8BBBE9AC-CE9A-4404-A2C3-33CF44F2622E}" xr6:coauthVersionLast="47" xr6:coauthVersionMax="47" xr10:uidLastSave="{00000000-0000-0000-0000-000000000000}"/>
  <bookViews>
    <workbookView xWindow="-120" yWindow="-120" windowWidth="24240" windowHeight="13020" tabRatio="904" firstSheet="1" activeTab="10" xr2:uid="{00000000-000D-0000-FFFF-FFFF00000000}"/>
  </bookViews>
  <sheets>
    <sheet name="Project Overview" sheetId="1" r:id="rId1"/>
    <sheet name="Raw Data" sheetId="2" r:id="rId2"/>
    <sheet name="Cleaned Data" sheetId="3" r:id="rId3"/>
    <sheet name="Gantt Chart" sheetId="4" r:id="rId4"/>
    <sheet name="Resource Planner" sheetId="5" r:id="rId5"/>
    <sheet name="Task Tracker" sheetId="6" r:id="rId6"/>
    <sheet name="Data Reference" sheetId="7" r:id="rId7"/>
    <sheet name="Formula Cheat Sheet" sheetId="8" r:id="rId8"/>
    <sheet name="Dashboard Checklist" sheetId="9" r:id="rId9"/>
    <sheet name="Cleaning Process" sheetId="10" r:id="rId10"/>
    <sheet name="Validation Check" sheetId="11" r:id="rId11"/>
  </sheets>
  <definedNames>
    <definedName name="_xlnm._FilterDatabase" localSheetId="2" hidden="1">'Cleaned Data'!$A$3:$P$3</definedName>
    <definedName name="_xlnm._FilterDatabase" localSheetId="1" hidden="1">'Raw Data'!$A$3:$O$3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5" l="1"/>
  <c r="M11" i="5"/>
  <c r="L11" i="5"/>
  <c r="K11" i="5"/>
  <c r="J11" i="5"/>
  <c r="I11" i="5"/>
  <c r="H11" i="5"/>
  <c r="G11" i="5"/>
  <c r="F11" i="5"/>
</calcChain>
</file>

<file path=xl/sharedStrings.xml><?xml version="1.0" encoding="utf-8"?>
<sst xmlns="http://schemas.openxmlformats.org/spreadsheetml/2006/main" count="3952" uniqueCount="881">
  <si>
    <t>DATA CLEANING FOR EXCEL DASHBOARD  |  Project Management Complete Reference</t>
  </si>
  <si>
    <t>4 Phases  •  10 Core Techniques  •  Jan – Jun 2024   |   Raw Data (150 rows)  →  Cleaned Data (150 rows)  →  Gantt  →  Resources  →  Tracker  →  Reference  →  Formulas  →  Checklist</t>
  </si>
  <si>
    <t xml:space="preserve">  PROJECT INFORMATION</t>
  </si>
  <si>
    <t>Project Name</t>
  </si>
  <si>
    <t>Data Cleaning for Excel Dashboard Development</t>
  </si>
  <si>
    <t>Project Manager</t>
  </si>
  <si>
    <t>Karan Malhotra</t>
  </si>
  <si>
    <t>Start Date</t>
  </si>
  <si>
    <t>01-Jan-2024</t>
  </si>
  <si>
    <t>End Date</t>
  </si>
  <si>
    <t>30-Jun-2024</t>
  </si>
  <si>
    <t>Department</t>
  </si>
  <si>
    <t>Business Intelligence / Analytics</t>
  </si>
  <si>
    <t>Priority</t>
  </si>
  <si>
    <t>HIGH</t>
  </si>
  <si>
    <t>Budget (₹)</t>
  </si>
  <si>
    <t>₹8,50,000</t>
  </si>
  <si>
    <t>Status</t>
  </si>
  <si>
    <t>In Progress</t>
  </si>
  <si>
    <t>Project Sponsor</t>
  </si>
  <si>
    <t>Ananya Singh — Senior Analytics Lead</t>
  </si>
  <si>
    <t>Document Ver.</t>
  </si>
  <si>
    <t>v1.0 — Professional Reference</t>
  </si>
  <si>
    <t xml:space="preserve">  KEY PROJECT METRICS</t>
  </si>
  <si>
    <t>📊 Total Techniques</t>
  </si>
  <si>
    <t>✅ Completed</t>
  </si>
  <si>
    <t>🔄 In Progress</t>
  </si>
  <si>
    <t>⏳ Not Started</t>
  </si>
  <si>
    <t>📈 Overall Progress</t>
  </si>
  <si>
    <t>50%</t>
  </si>
  <si>
    <t xml:space="preserve">  QUICK NAVIGATION — CLICK TO JUMP TO ANY SHEET</t>
  </si>
  <si>
    <t>Sheet Name</t>
  </si>
  <si>
    <t>Type</t>
  </si>
  <si>
    <t>Description</t>
  </si>
  <si>
    <t>Open ↗</t>
  </si>
  <si>
    <t>Raw Data (150 rows)</t>
  </si>
  <si>
    <t>DATA</t>
  </si>
  <si>
    <t>⚠  150 uncleaned records — messy names, dates, revenue &amp; formats</t>
  </si>
  <si>
    <t>→ Open Raw Data (150 rows)</t>
  </si>
  <si>
    <t>Cleaned Data (150 rows)</t>
  </si>
  <si>
    <t>✔  150 standardised &amp; validated records with cleaning flags</t>
  </si>
  <si>
    <t>→ Open Cleaned Data (150 rows)</t>
  </si>
  <si>
    <t>Gantt Chart</t>
  </si>
  <si>
    <t>PLAN</t>
  </si>
  <si>
    <t>📅  Full 26-week Gantt across 4 phases with colour-coded bars</t>
  </si>
  <si>
    <t>→ Open Gantt Chart</t>
  </si>
  <si>
    <t>Resource Planner</t>
  </si>
  <si>
    <t>TEAM</t>
  </si>
  <si>
    <t>👥  7-person team: allocation, utilisation &amp; workload by phase</t>
  </si>
  <si>
    <t>→ Open Resource Planner</t>
  </si>
  <si>
    <t>Task Tracker</t>
  </si>
  <si>
    <t>TRACK</t>
  </si>
  <si>
    <t>✅  Detailed task log with formulas, dependencies &amp; review dates</t>
  </si>
  <si>
    <t>→ Open Task Tracker</t>
  </si>
  <si>
    <t>Data Reference</t>
  </si>
  <si>
    <t>REF</t>
  </si>
  <si>
    <t>📖  Before/after raw→clean examples for all 10 techniques</t>
  </si>
  <si>
    <t>→ Open Data Reference</t>
  </si>
  <si>
    <t>Formula Cheat Sheet</t>
  </si>
  <si>
    <t>🔢  20 key cleaning formulas with syntax, notes &amp; technique map</t>
  </si>
  <si>
    <t>→ Open Formula Cheat Sheet</t>
  </si>
  <si>
    <t>Dashboard Checklist</t>
  </si>
  <si>
    <t>QA</t>
  </si>
  <si>
    <t>📋  10-point pre-deployment quality gate with status tracking</t>
  </si>
  <si>
    <t>→ Open Dashboard Checklist</t>
  </si>
  <si>
    <t xml:space="preserve">  10 DATA CLEANING TECHNIQUES — OVERVIEW</t>
  </si>
  <si>
    <t>No.</t>
  </si>
  <si>
    <t>Technique</t>
  </si>
  <si>
    <t>Problem Solved</t>
  </si>
  <si>
    <t>Key Formula</t>
  </si>
  <si>
    <t>Phase</t>
  </si>
  <si>
    <t>Remove Duplicates — CRM Export Cleaning</t>
  </si>
  <si>
    <t>CRM Export Cleaning</t>
  </si>
  <si>
    <t>COUNTIF($A$2:$A2,A2)&gt;1</t>
  </si>
  <si>
    <t>Phase 1</t>
  </si>
  <si>
    <t>Critical</t>
  </si>
  <si>
    <t>Completed</t>
  </si>
  <si>
    <t>Trim Extra Spaces — Customer Name Import</t>
  </si>
  <si>
    <t>Customer Name Import</t>
  </si>
  <si>
    <t>TRIM(CLEAN(A2))</t>
  </si>
  <si>
    <t>Standardize Text Case — Region Codes</t>
  </si>
  <si>
    <t>Region Codes</t>
  </si>
  <si>
    <t>PROPER(A2)</t>
  </si>
  <si>
    <t>High</t>
  </si>
  <si>
    <t>Fix Date Formats — Legacy System Dates</t>
  </si>
  <si>
    <t>Legacy System Dates</t>
  </si>
  <si>
    <t>DATEVALUE(A2)</t>
  </si>
  <si>
    <t>Phase 2</t>
  </si>
  <si>
    <t>Handle Missing Values — Customer Database</t>
  </si>
  <si>
    <t>Customer Database</t>
  </si>
  <si>
    <t>IF(ISBLANK(A2),"Unknown",A2)</t>
  </si>
  <si>
    <t>Split Combined Columns — Contact Database</t>
  </si>
  <si>
    <t>Contact Database</t>
  </si>
  <si>
    <t>LEFT(A2,FIND(" ",A2)-1)</t>
  </si>
  <si>
    <t>Medium</t>
  </si>
  <si>
    <t>Remove Non-Numeric Chars — Revenue Data</t>
  </si>
  <si>
    <t>Revenue Data</t>
  </si>
  <si>
    <t>VALUE(SUBSTITUTE(A2,"Rs. ",""))</t>
  </si>
  <si>
    <t>Phase 3</t>
  </si>
  <si>
    <t>Validate Data Ranges — HR Age Dataset</t>
  </si>
  <si>
    <t>HR Age Dataset</t>
  </si>
  <si>
    <t>IF(AND(A2&gt;=18,A2&lt;=65),"Valid","Invalid")</t>
  </si>
  <si>
    <t>Not Started</t>
  </si>
  <si>
    <t>Standardize Category Labels — Product SKU</t>
  </si>
  <si>
    <t>Product SKU</t>
  </si>
  <si>
    <t>IFERROR(VLOOKUP(UPPER(A2),Map,2,0),PROPER(A2))</t>
  </si>
  <si>
    <t>Combine &amp; Reconcile Columns — Address</t>
  </si>
  <si>
    <t>Address</t>
  </si>
  <si>
    <t>TEXTJOIN(", ",TRUE,B2,C2,D2)</t>
  </si>
  <si>
    <t>Phase 4</t>
  </si>
  <si>
    <t>⚠  RAW DATA — 150 Records (Uncleaned)  |  Project Management Dashboard</t>
  </si>
  <si>
    <t>← Back to Project Overview</t>
  </si>
  <si>
    <t>#</t>
  </si>
  <si>
    <t>Task / Technique</t>
  </si>
  <si>
    <t>Assigned To</t>
  </si>
  <si>
    <t>Duration (Days)</t>
  </si>
  <si>
    <t>% Complete</t>
  </si>
  <si>
    <t>Daily Rate (₹)</t>
  </si>
  <si>
    <t>Hours</t>
  </si>
  <si>
    <t>Revenue (Raw)</t>
  </si>
  <si>
    <t>Notes</t>
  </si>
  <si>
    <t>PHASE1</t>
  </si>
  <si>
    <t>Sunita Verma</t>
  </si>
  <si>
    <t>BI &amp; Analytics</t>
  </si>
  <si>
    <t>2024-02-06</t>
  </si>
  <si>
    <t>40</t>
  </si>
  <si>
    <t>Low</t>
  </si>
  <si>
    <t>3000</t>
  </si>
  <si>
    <t>TBD</t>
  </si>
  <si>
    <t>Rs. 154,716</t>
  </si>
  <si>
    <t>—</t>
  </si>
  <si>
    <t>PHASE 2</t>
  </si>
  <si>
    <t>deepa krishnan</t>
  </si>
  <si>
    <t>business intel.</t>
  </si>
  <si>
    <t>2024-05-15</t>
  </si>
  <si>
    <t>not started</t>
  </si>
  <si>
    <t>100.00%</t>
  </si>
  <si>
    <t>LOW</t>
  </si>
  <si>
    <t>₹4200</t>
  </si>
  <si>
    <t>Rs.707655</t>
  </si>
  <si>
    <t>Amit Roy</t>
  </si>
  <si>
    <t>DATA PLATFORM</t>
  </si>
  <si>
    <t>01/25/2024</t>
  </si>
  <si>
    <t>COMPLETED</t>
  </si>
  <si>
    <t>25</t>
  </si>
  <si>
    <t>high</t>
  </si>
  <si>
    <t>160</t>
  </si>
  <si>
    <t>499533</t>
  </si>
  <si>
    <t>PHASE4</t>
  </si>
  <si>
    <t>neha joshi</t>
  </si>
  <si>
    <t>QUALITY ASSUR.</t>
  </si>
  <si>
    <t>2024-03-17</t>
  </si>
  <si>
    <t>Complete</t>
  </si>
  <si>
    <t>0</t>
  </si>
  <si>
    <t>CRITICAL</t>
  </si>
  <si>
    <t xml:space="preserve">  ₹2,000  </t>
  </si>
  <si>
    <t>80</t>
  </si>
  <si>
    <t>₹511,738</t>
  </si>
  <si>
    <t>Deepa Krishnan</t>
  </si>
  <si>
    <t>PMO</t>
  </si>
  <si>
    <t>15-05-2024</t>
  </si>
  <si>
    <t>100 %</t>
  </si>
  <si>
    <t>INR 5,500</t>
  </si>
  <si>
    <t>N/A</t>
  </si>
  <si>
    <t>₹586,967</t>
  </si>
  <si>
    <t>phase 2</t>
  </si>
  <si>
    <t>DEEPA KRISHNAN</t>
  </si>
  <si>
    <t>BI &amp; ANALYTICS</t>
  </si>
  <si>
    <t>2024-02-08</t>
  </si>
  <si>
    <t>25.00%</t>
  </si>
  <si>
    <t>Rs. 3,500</t>
  </si>
  <si>
    <t>Rs.444784</t>
  </si>
  <si>
    <t>Extra spaces detected</t>
  </si>
  <si>
    <t>Siddharth Rao</t>
  </si>
  <si>
    <t>data platform</t>
  </si>
  <si>
    <t>02/18/2024</t>
  </si>
  <si>
    <t>In-Progress</t>
  </si>
  <si>
    <t>Rs. 4,000</t>
  </si>
  <si>
    <t>120</t>
  </si>
  <si>
    <t>Rs. 340,746</t>
  </si>
  <si>
    <t>PHASE 1</t>
  </si>
  <si>
    <t>Meera Pillai</t>
  </si>
  <si>
    <t>Quality Assur.</t>
  </si>
  <si>
    <t>15-03-2024</t>
  </si>
  <si>
    <t>50.00%</t>
  </si>
  <si>
    <t>low</t>
  </si>
  <si>
    <t>Rs.5000</t>
  </si>
  <si>
    <t>INR 148,463</t>
  </si>
  <si>
    <t>Re-run TRIM</t>
  </si>
  <si>
    <t>PHASE2</t>
  </si>
  <si>
    <t>Rohit Gupta</t>
  </si>
  <si>
    <t>pmo</t>
  </si>
  <si>
    <t>2024-01-19</t>
  </si>
  <si>
    <t>NOT STARTED</t>
  </si>
  <si>
    <t>75.00%</t>
  </si>
  <si>
    <t>medium</t>
  </si>
  <si>
    <t>INR 19,520</t>
  </si>
  <si>
    <t>PHASE 3</t>
  </si>
  <si>
    <t>2024-05-07</t>
  </si>
  <si>
    <t>25%</t>
  </si>
  <si>
    <t>140</t>
  </si>
  <si>
    <t>541024</t>
  </si>
  <si>
    <t>Awaiting sign-off</t>
  </si>
  <si>
    <t>PHASE 4</t>
  </si>
  <si>
    <t>Lakshmi Nair</t>
  </si>
  <si>
    <t>BUSINESS INTEL.</t>
  </si>
  <si>
    <t>2024-04-22</t>
  </si>
  <si>
    <t>in progress</t>
  </si>
  <si>
    <t>0%</t>
  </si>
  <si>
    <t>94242</t>
  </si>
  <si>
    <t>Check formula</t>
  </si>
  <si>
    <t>Priya Sharma</t>
  </si>
  <si>
    <t>22-02-2024</t>
  </si>
  <si>
    <t>100</t>
  </si>
  <si>
    <t>MEDIUM</t>
  </si>
  <si>
    <t>₹152,010</t>
  </si>
  <si>
    <t>Needs validation</t>
  </si>
  <si>
    <t>01/27/2024</t>
  </si>
  <si>
    <t>completed</t>
  </si>
  <si>
    <t>0 %</t>
  </si>
  <si>
    <t>Rs.514492</t>
  </si>
  <si>
    <t>RAHUL MEHTA</t>
  </si>
  <si>
    <t>02/20/2024</t>
  </si>
  <si>
    <t>25 %</t>
  </si>
  <si>
    <t>60</t>
  </si>
  <si>
    <t>INR 449,046</t>
  </si>
  <si>
    <t>Verified OK</t>
  </si>
  <si>
    <t>Rahul Mehta</t>
  </si>
  <si>
    <t>2024-03-11</t>
  </si>
  <si>
    <t>₹137,858</t>
  </si>
  <si>
    <t>phase 1</t>
  </si>
  <si>
    <t>SUNITA VERMA</t>
  </si>
  <si>
    <t>Business Intel.</t>
  </si>
  <si>
    <t>2024-01-21</t>
  </si>
  <si>
    <t>Rs. 586,812</t>
  </si>
  <si>
    <t>Pending review</t>
  </si>
  <si>
    <t>Vikram Nair</t>
  </si>
  <si>
    <t>02/06/2024</t>
  </si>
  <si>
    <t>75%</t>
  </si>
  <si>
    <t>168</t>
  </si>
  <si>
    <t>₹168,685</t>
  </si>
  <si>
    <t>PHASE3</t>
  </si>
  <si>
    <t>NEHA JOSHI</t>
  </si>
  <si>
    <t>18-04-2024</t>
  </si>
  <si>
    <t>343619</t>
  </si>
  <si>
    <t>Arjun Pillai</t>
  </si>
  <si>
    <t>27-03-2024</t>
  </si>
  <si>
    <t>INR 650,940</t>
  </si>
  <si>
    <t>pooja iyer</t>
  </si>
  <si>
    <t>bi &amp; analytics</t>
  </si>
  <si>
    <t>07-05-2024</t>
  </si>
  <si>
    <t>Rs.765374</t>
  </si>
  <si>
    <t>POOJA IYER</t>
  </si>
  <si>
    <t>2024-02-22</t>
  </si>
  <si>
    <t>40 %</t>
  </si>
  <si>
    <t>critical</t>
  </si>
  <si>
    <t>Rs. 330,067</t>
  </si>
  <si>
    <t>23-03-2024</t>
  </si>
  <si>
    <t>Rs.275487</t>
  </si>
  <si>
    <t>rohit gupta</t>
  </si>
  <si>
    <t>01/11/2024</t>
  </si>
  <si>
    <t>40.00%</t>
  </si>
  <si>
    <t>INR 268,358</t>
  </si>
  <si>
    <t>ananya singh</t>
  </si>
  <si>
    <t>2024-01-07</t>
  </si>
  <si>
    <t>0.00%</t>
  </si>
  <si>
    <t>INR 719,497</t>
  </si>
  <si>
    <t>phase 3</t>
  </si>
  <si>
    <t>2024-05-23</t>
  </si>
  <si>
    <t>Rs. 652,813</t>
  </si>
  <si>
    <t>phase 4</t>
  </si>
  <si>
    <t>ANANYA SINGH</t>
  </si>
  <si>
    <t>100%</t>
  </si>
  <si>
    <t>INR 665,883</t>
  </si>
  <si>
    <t>Flag for QA</t>
  </si>
  <si>
    <t>05/01/2024</t>
  </si>
  <si>
    <t>INR 290,590</t>
  </si>
  <si>
    <t>05/11/2024</t>
  </si>
  <si>
    <t>Not_Started</t>
  </si>
  <si>
    <t>50</t>
  </si>
  <si>
    <t>Rs.269913</t>
  </si>
  <si>
    <t>03/15/2024</t>
  </si>
  <si>
    <t>649359</t>
  </si>
  <si>
    <t xml:space="preserve">  Vikram Nair  </t>
  </si>
  <si>
    <t>Rs.102675</t>
  </si>
  <si>
    <t>vikram nair</t>
  </si>
  <si>
    <t>Data Platform</t>
  </si>
  <si>
    <t>2024-02-16</t>
  </si>
  <si>
    <t>INR 885,691</t>
  </si>
  <si>
    <t>01/01/2024</t>
  </si>
  <si>
    <t>Rs.277344</t>
  </si>
  <si>
    <t>2024-02-28</t>
  </si>
  <si>
    <t>₹336,526</t>
  </si>
  <si>
    <t>05/23/2024</t>
  </si>
  <si>
    <t>65</t>
  </si>
  <si>
    <t>Rs.89000</t>
  </si>
  <si>
    <t>11-03-2024</t>
  </si>
  <si>
    <t>Rs. 126,838</t>
  </si>
  <si>
    <t>Pooja Iyer</t>
  </si>
  <si>
    <t>17-03-2024</t>
  </si>
  <si>
    <t>INR 243,606</t>
  </si>
  <si>
    <t>Minor inconsistency</t>
  </si>
  <si>
    <t>siddharth rao</t>
  </si>
  <si>
    <t>04/28/2024</t>
  </si>
  <si>
    <t>75 %</t>
  </si>
  <si>
    <t>744557</t>
  </si>
  <si>
    <t>03/21/2024</t>
  </si>
  <si>
    <t>Rs.375752</t>
  </si>
  <si>
    <t xml:space="preserve">  Lakshmi Nair  </t>
  </si>
  <si>
    <t>17-01-2024</t>
  </si>
  <si>
    <t>50 %</t>
  </si>
  <si>
    <t>INR 715,402</t>
  </si>
  <si>
    <t>01-05-2024</t>
  </si>
  <si>
    <t>INR 228,678</t>
  </si>
  <si>
    <t>ROHIT GUPTA</t>
  </si>
  <si>
    <t>2024-01-09</t>
  </si>
  <si>
    <t>40%</t>
  </si>
  <si>
    <t>Rs.714390</t>
  </si>
  <si>
    <t>amit roy</t>
  </si>
  <si>
    <t>quality assur.</t>
  </si>
  <si>
    <t>02/16/2024</t>
  </si>
  <si>
    <t>INR 111,961</t>
  </si>
  <si>
    <t>06-04-2024</t>
  </si>
  <si>
    <t>INR 150,227</t>
  </si>
  <si>
    <t>2024-05-17</t>
  </si>
  <si>
    <t>61837</t>
  </si>
  <si>
    <t>₹612,246</t>
  </si>
  <si>
    <t>02/12/2024</t>
  </si>
  <si>
    <t>INR 724,521</t>
  </si>
  <si>
    <t>ARJUN PILLAI</t>
  </si>
  <si>
    <t>2024-03-25</t>
  </si>
  <si>
    <t>Rs. 722,090</t>
  </si>
  <si>
    <t xml:space="preserve">  Arjun Pillai  </t>
  </si>
  <si>
    <t>₹306,112</t>
  </si>
  <si>
    <t>05/15/2024</t>
  </si>
  <si>
    <t>IN PROGRESS</t>
  </si>
  <si>
    <t>₹846,911</t>
  </si>
  <si>
    <t>Neha Joshi</t>
  </si>
  <si>
    <t>Rs.99642</t>
  </si>
  <si>
    <t>MEERA PILLAI</t>
  </si>
  <si>
    <t>03/19/2024</t>
  </si>
  <si>
    <t>₹640,427</t>
  </si>
  <si>
    <t>07-03-2024</t>
  </si>
  <si>
    <t>65.00%</t>
  </si>
  <si>
    <t>₹558,878</t>
  </si>
  <si>
    <t>2024-04-02</t>
  </si>
  <si>
    <t>INR 472,147</t>
  </si>
  <si>
    <t>Rs. 377,724</t>
  </si>
  <si>
    <t>meera pillai</t>
  </si>
  <si>
    <t>26-06-2024</t>
  </si>
  <si>
    <t>INR 378,614</t>
  </si>
  <si>
    <t>04/10/2024</t>
  </si>
  <si>
    <t>₹694,824</t>
  </si>
  <si>
    <t>INR 391,378</t>
  </si>
  <si>
    <t xml:space="preserve">  Priya Sharma  </t>
  </si>
  <si>
    <t>Rs.728925</t>
  </si>
  <si>
    <t>18-06-2024</t>
  </si>
  <si>
    <t>₹214,929</t>
  </si>
  <si>
    <t>AMIT ROY</t>
  </si>
  <si>
    <t>2024-05-25</t>
  </si>
  <si>
    <t>INR 158,540</t>
  </si>
  <si>
    <t>02/10/2024</t>
  </si>
  <si>
    <t>16054</t>
  </si>
  <si>
    <t>65%</t>
  </si>
  <si>
    <t>INR 252,731</t>
  </si>
  <si>
    <t>02-02-2024</t>
  </si>
  <si>
    <t>Rs. 89,115</t>
  </si>
  <si>
    <t xml:space="preserve">  Neha Joshi  </t>
  </si>
  <si>
    <t>01/03/2024</t>
  </si>
  <si>
    <t>Rs.464161</t>
  </si>
  <si>
    <t>2024-02-12</t>
  </si>
  <si>
    <t>INR 593,245</t>
  </si>
  <si>
    <t>2024-05-19</t>
  </si>
  <si>
    <t>75</t>
  </si>
  <si>
    <t>Rs.151703</t>
  </si>
  <si>
    <t>01/21/2024</t>
  </si>
  <si>
    <t>795227</t>
  </si>
  <si>
    <t>2024-04-06</t>
  </si>
  <si>
    <t>261943</t>
  </si>
  <si>
    <t>INR 279,307</t>
  </si>
  <si>
    <t>04-04-2024</t>
  </si>
  <si>
    <t>655855</t>
  </si>
  <si>
    <t>2024-04-10</t>
  </si>
  <si>
    <t>INR 496,586</t>
  </si>
  <si>
    <t>2024-04-28</t>
  </si>
  <si>
    <t>Rs. 882,832</t>
  </si>
  <si>
    <t>10-02-2024</t>
  </si>
  <si>
    <t>631362</t>
  </si>
  <si>
    <t xml:space="preserve">  Rahul Mehta  </t>
  </si>
  <si>
    <t>21-05-2024</t>
  </si>
  <si>
    <t>Rs.339019</t>
  </si>
  <si>
    <t>13-03-2024</t>
  </si>
  <si>
    <t>Rs.668837</t>
  </si>
  <si>
    <t>02/24/2024</t>
  </si>
  <si>
    <t>Rs.511189</t>
  </si>
  <si>
    <t>arjun pillai</t>
  </si>
  <si>
    <t>09-01-2024</t>
  </si>
  <si>
    <t>INR 279,905</t>
  </si>
  <si>
    <t>KARAN MALHOTRA</t>
  </si>
  <si>
    <t>06/14/2024</t>
  </si>
  <si>
    <t>Rs.722246</t>
  </si>
  <si>
    <t>18-02-2024</t>
  </si>
  <si>
    <t>INR 696,775</t>
  </si>
  <si>
    <t>01/13/2024</t>
  </si>
  <si>
    <t>INR 219,415</t>
  </si>
  <si>
    <t>2024-04-08</t>
  </si>
  <si>
    <t>INR 794,492</t>
  </si>
  <si>
    <t>06/10/2024</t>
  </si>
  <si>
    <t>₹614,503</t>
  </si>
  <si>
    <t>19-05-2024</t>
  </si>
  <si>
    <t>₹130,300</t>
  </si>
  <si>
    <t>Rs.862527</t>
  </si>
  <si>
    <t>₹154,188</t>
  </si>
  <si>
    <t>Ananya Singh</t>
  </si>
  <si>
    <t>INR 587,064</t>
  </si>
  <si>
    <t>330852</t>
  </si>
  <si>
    <t>Rs.740603</t>
  </si>
  <si>
    <t>PRIYA SHARMA</t>
  </si>
  <si>
    <t>242510</t>
  </si>
  <si>
    <t>2024-05-27</t>
  </si>
  <si>
    <t>INR 428,130</t>
  </si>
  <si>
    <t>Rs.195412</t>
  </si>
  <si>
    <t>Rs.302207</t>
  </si>
  <si>
    <t>106907</t>
  </si>
  <si>
    <t>21-01-2024</t>
  </si>
  <si>
    <t>65 %</t>
  </si>
  <si>
    <t>529551</t>
  </si>
  <si>
    <t>10-06-2024</t>
  </si>
  <si>
    <t>INR 334,691</t>
  </si>
  <si>
    <t>₹116,177</t>
  </si>
  <si>
    <t>03-01-2024</t>
  </si>
  <si>
    <t>Rs.562835</t>
  </si>
  <si>
    <t>2024-02-18</t>
  </si>
  <si>
    <t>Rs. 674,247</t>
  </si>
  <si>
    <t>02/26/2024</t>
  </si>
  <si>
    <t>Rs.440201</t>
  </si>
  <si>
    <t>15-01-2024</t>
  </si>
  <si>
    <t>₹208,648</t>
  </si>
  <si>
    <t>28-02-2024</t>
  </si>
  <si>
    <t>141339</t>
  </si>
  <si>
    <t>2024-06-18</t>
  </si>
  <si>
    <t>INR 410,161</t>
  </si>
  <si>
    <t>04-02-2024</t>
  </si>
  <si>
    <t>Rs. 287,972</t>
  </si>
  <si>
    <t>05/19/2024</t>
  </si>
  <si>
    <t>Rs. 759,941</t>
  </si>
  <si>
    <t>Rs.297337</t>
  </si>
  <si>
    <t>Rs. 745,912</t>
  </si>
  <si>
    <t>2024-06-14</t>
  </si>
  <si>
    <t>₹703,773</t>
  </si>
  <si>
    <t>INR 755,543</t>
  </si>
  <si>
    <t>12-02-2024</t>
  </si>
  <si>
    <t>Rs. 614,949</t>
  </si>
  <si>
    <t>2024-04-12</t>
  </si>
  <si>
    <t>852136</t>
  </si>
  <si>
    <t>Rs. 241,765</t>
  </si>
  <si>
    <t>2024-01-27</t>
  </si>
  <si>
    <t>INR 737,645</t>
  </si>
  <si>
    <t>₹571,755</t>
  </si>
  <si>
    <t>17-05-2024</t>
  </si>
  <si>
    <t>₹796,423</t>
  </si>
  <si>
    <t>03/05/2024</t>
  </si>
  <si>
    <t>Rs.642962</t>
  </si>
  <si>
    <t>01-01-2024</t>
  </si>
  <si>
    <t>₹709,825</t>
  </si>
  <si>
    <t>779849</t>
  </si>
  <si>
    <t>28-06-2024</t>
  </si>
  <si>
    <t>Rs.30394</t>
  </si>
  <si>
    <t>INR 379,501</t>
  </si>
  <si>
    <t>26-02-2024</t>
  </si>
  <si>
    <t>296464</t>
  </si>
  <si>
    <t>Rs. 186,651</t>
  </si>
  <si>
    <t>Rs.759798</t>
  </si>
  <si>
    <t>2024-06-26</t>
  </si>
  <si>
    <t>Rs. 883,335</t>
  </si>
  <si>
    <t>2024-05-13</t>
  </si>
  <si>
    <t>₹123,551</t>
  </si>
  <si>
    <t>05/25/2024</t>
  </si>
  <si>
    <t>Rs. 42,667</t>
  </si>
  <si>
    <t>2024-03-27</t>
  </si>
  <si>
    <t>Rs.880473</t>
  </si>
  <si>
    <t>karan malhotra</t>
  </si>
  <si>
    <t>04/20/2024</t>
  </si>
  <si>
    <t>Rs. 591,699</t>
  </si>
  <si>
    <t>01/19/2024</t>
  </si>
  <si>
    <t>Rs.637287</t>
  </si>
  <si>
    <t>Rs.595811</t>
  </si>
  <si>
    <t>14-04-2024</t>
  </si>
  <si>
    <t>505134</t>
  </si>
  <si>
    <t>06/08/2024</t>
  </si>
  <si>
    <t>₹593,997</t>
  </si>
  <si>
    <t>04/22/2024</t>
  </si>
  <si>
    <t>Rs.767173</t>
  </si>
  <si>
    <t>2024-06-06</t>
  </si>
  <si>
    <t>INR 460,655</t>
  </si>
  <si>
    <t>03/07/2024</t>
  </si>
  <si>
    <t>₹134,327</t>
  </si>
  <si>
    <t xml:space="preserve">  Sunita Verma  </t>
  </si>
  <si>
    <t>Rs.121689</t>
  </si>
  <si>
    <t>2024-02-14</t>
  </si>
  <si>
    <t>Rs. 275,808</t>
  </si>
  <si>
    <t>Rs.845321</t>
  </si>
  <si>
    <t>Rs.536688</t>
  </si>
  <si>
    <t>02-04-2024</t>
  </si>
  <si>
    <t>564399</t>
  </si>
  <si>
    <t>₹226,560</t>
  </si>
  <si>
    <t>282169</t>
  </si>
  <si>
    <t>03/25/2024</t>
  </si>
  <si>
    <t>Rs.155947</t>
  </si>
  <si>
    <t xml:space="preserve">  Rohit Gupta  </t>
  </si>
  <si>
    <t>04/18/2024</t>
  </si>
  <si>
    <t>Rs. 809,899</t>
  </si>
  <si>
    <t>Rs. 209,704</t>
  </si>
  <si>
    <t>Rs. 866,996</t>
  </si>
  <si>
    <t>Rs.760636</t>
  </si>
  <si>
    <t>INR 249,341</t>
  </si>
  <si>
    <t>lakshmi nair</t>
  </si>
  <si>
    <t>399153</t>
  </si>
  <si>
    <t>✔  CLEANED DATA — 150 Records (Standardised &amp; Validated)  |  Project Management Dashboard</t>
  </si>
  <si>
    <t>Revenue (₹)</t>
  </si>
  <si>
    <t>Flag</t>
  </si>
  <si>
    <t>Status, Priority</t>
  </si>
  <si>
    <t>Name, Dept</t>
  </si>
  <si>
    <t>Name, Phase</t>
  </si>
  <si>
    <t>Phase, Priority</t>
  </si>
  <si>
    <t>Dept, Status</t>
  </si>
  <si>
    <t>Name, Dept, Status</t>
  </si>
  <si>
    <t>📅  GANTT CHART — Data Cleaning for Excel Dashboard Development  |  January 2024 – June 2024  |  4 Phases  |  10 Techniques</t>
  </si>
  <si>
    <t>← Back to Project Overview  |  Jan – Jun 2024  |  4 Phases  |  10 Techniques</t>
  </si>
  <si>
    <t>Owner</t>
  </si>
  <si>
    <t>Start</t>
  </si>
  <si>
    <t>End</t>
  </si>
  <si>
    <t>Days</t>
  </si>
  <si>
    <t>% Done</t>
  </si>
  <si>
    <t>January 2024</t>
  </si>
  <si>
    <t>February 2024</t>
  </si>
  <si>
    <t>March 2024</t>
  </si>
  <si>
    <t>April 2024</t>
  </si>
  <si>
    <t>May 2024</t>
  </si>
  <si>
    <t>June 2024</t>
  </si>
  <si>
    <t>W1</t>
  </si>
  <si>
    <t>W2</t>
  </si>
  <si>
    <t>W3</t>
  </si>
  <si>
    <t>W4</t>
  </si>
  <si>
    <t>PHASE 1 — Foundation Cleaning (Techniques 1–3)</t>
  </si>
  <si>
    <t>PHASE 2 — Structure &amp; Format Cleaning (Techniques 4–6)</t>
  </si>
  <si>
    <t>PHASE 3 — Value Validation &amp; Standardisation (Techniques 7–9)</t>
  </si>
  <si>
    <t>PHASE 4 — Data Consolidation &amp; Final QA (Technique 10)</t>
  </si>
  <si>
    <t>LEGEND</t>
  </si>
  <si>
    <t>Phase 1 – Foundation</t>
  </si>
  <si>
    <t>Phase 2 – Structure</t>
  </si>
  <si>
    <t>Phase 3 – Validation</t>
  </si>
  <si>
    <t>Phase 4 – Final QA</t>
  </si>
  <si>
    <t>■ Completed</t>
  </si>
  <si>
    <t>■ In Progress</t>
  </si>
  <si>
    <t>■ Not Started</t>
  </si>
  <si>
    <t>👥  RESOURCE ALLOCATION PLANNER — Data Cleaning Project  |  Team capacity, task assignments, workload &amp; availability — Jan to Jun 2024</t>
  </si>
  <si>
    <t>Resource Name</t>
  </si>
  <si>
    <t>Role</t>
  </si>
  <si>
    <t>Techniques Assigned</t>
  </si>
  <si>
    <t>Ph.1</t>
  </si>
  <si>
    <t>Ph.2</t>
  </si>
  <si>
    <t>Ph.3</t>
  </si>
  <si>
    <t>Ph.4</t>
  </si>
  <si>
    <t>Total Tasks</t>
  </si>
  <si>
    <t>Hours Alloc.</t>
  </si>
  <si>
    <t>Availability %</t>
  </si>
  <si>
    <t>Utilisation %</t>
  </si>
  <si>
    <t>Senior Data Analyst</t>
  </si>
  <si>
    <t>COUNTIF, TRIM, CLEAN, VLOOKUP, ISBLANK</t>
  </si>
  <si>
    <t>Active</t>
  </si>
  <si>
    <t>BI Developer</t>
  </si>
  <si>
    <t>UPPER/LOWER/PROPER, TEXTSPLIT, LEFT/MID</t>
  </si>
  <si>
    <t>Data Engineer</t>
  </si>
  <si>
    <t>DATEVALUE, VALUE, DATE, TEXTJOIN</t>
  </si>
  <si>
    <t>QA Analyst</t>
  </si>
  <si>
    <t>IFERROR, ISBLANK, AVERAGEIFS, IF, AND</t>
  </si>
  <si>
    <t>Project Planning, Reporting, Stakeholder</t>
  </si>
  <si>
    <t>Junior Data Analyst</t>
  </si>
  <si>
    <t>TRIM, CLEAN, VLOOKUP, COUNTIF</t>
  </si>
  <si>
    <t>Data Architect</t>
  </si>
  <si>
    <t>Data Modelling, ETL, Schema, Validation</t>
  </si>
  <si>
    <t>Part-time</t>
  </si>
  <si>
    <t>TOTALS / AVERAGES</t>
  </si>
  <si>
    <t>WORKLOAD SUMMARY BY PHASE</t>
  </si>
  <si>
    <t>Resource</t>
  </si>
  <si>
    <t>Util %</t>
  </si>
  <si>
    <t>✅  TASK TRACKER — Data Cleaning for Excel Dashboard  |  Detailed task log with formulas, dependencies, review dates &amp; completion tracking</t>
  </si>
  <si>
    <t>Technique / Task</t>
  </si>
  <si>
    <t>Duration</t>
  </si>
  <si>
    <t>Notes / Formula Used</t>
  </si>
  <si>
    <t>Dependency</t>
  </si>
  <si>
    <t>Review Date</t>
  </si>
  <si>
    <t>COUNTIF($A$2:$A2,A2)&gt;1 | Data &gt; Remove Duplicates</t>
  </si>
  <si>
    <t>None</t>
  </si>
  <si>
    <t>Task 1</t>
  </si>
  <si>
    <t>PROPER(A2) | UPPER(A2) | LOWER(A2)</t>
  </si>
  <si>
    <t>Task 2</t>
  </si>
  <si>
    <t>DATEVALUE(A2) | DATE(RIGHT,MID,LEFT)</t>
  </si>
  <si>
    <t>Task 3</t>
  </si>
  <si>
    <t>Task 4</t>
  </si>
  <si>
    <t>LEFT(A2,FIND(" ",A2)-1) | MID(A2,FIND(...))</t>
  </si>
  <si>
    <t>Task 5</t>
  </si>
  <si>
    <t>VALUE(SUBSTITUTE(SUBSTITUTE(A2,"Rs. ",""),",",""))</t>
  </si>
  <si>
    <t>Task 6</t>
  </si>
  <si>
    <t>Task 7</t>
  </si>
  <si>
    <t>IFERROR(VLOOKUP(UPPER(A2),MapTable,2,0),PROPER(A2))</t>
  </si>
  <si>
    <t>Task 8</t>
  </si>
  <si>
    <t>Task 9</t>
  </si>
  <si>
    <t>📖  DATA CLEANING REFERENCE — Raw vs Clean Data Examples  |  All 10 techniques with before/after data</t>
  </si>
  <si>
    <t>Technique 1 — Remove Duplicates</t>
  </si>
  <si>
    <t xml:space="preserve">  ← RAW DATA (Before Cleaning)</t>
  </si>
  <si>
    <t>Order ID</t>
  </si>
  <si>
    <t>Customer</t>
  </si>
  <si>
    <t>Product</t>
  </si>
  <si>
    <t>Amount (₹)</t>
  </si>
  <si>
    <t>Date</t>
  </si>
  <si>
    <t>ORD-1001</t>
  </si>
  <si>
    <t>Laptop</t>
  </si>
  <si>
    <t>₹75,000</t>
  </si>
  <si>
    <t>ORD-1002</t>
  </si>
  <si>
    <t>Wireless Mouse</t>
  </si>
  <si>
    <t>₹1,200</t>
  </si>
  <si>
    <t>02-Jan-2024</t>
  </si>
  <si>
    <t>01-Jan-2024 ← DUP</t>
  </si>
  <si>
    <t>ORD-1003</t>
  </si>
  <si>
    <t>Keyboard</t>
  </si>
  <si>
    <t>₹2,500</t>
  </si>
  <si>
    <t>03-Jan-2024</t>
  </si>
  <si>
    <t>02-Jan-2024 ← DUP</t>
  </si>
  <si>
    <t xml:space="preserve">  ✔ CLEAN DATA (After Cleaning)</t>
  </si>
  <si>
    <t>Technique 2 — Trim Extra Spaces</t>
  </si>
  <si>
    <t>Cust ID</t>
  </si>
  <si>
    <t>Raw Name (Spaces)</t>
  </si>
  <si>
    <t>Email</t>
  </si>
  <si>
    <t>C001</t>
  </si>
  <si>
    <t>priya@corp.in</t>
  </si>
  <si>
    <t>C002</t>
  </si>
  <si>
    <t>Rahul  Mehta</t>
  </si>
  <si>
    <t>rahul@corp.in</t>
  </si>
  <si>
    <t>C003</t>
  </si>
  <si>
    <t xml:space="preserve"> Neha Joshi</t>
  </si>
  <si>
    <t>neha@corp.in</t>
  </si>
  <si>
    <t>C004</t>
  </si>
  <si>
    <t xml:space="preserve">Sunita  Verma </t>
  </si>
  <si>
    <t>sunita@corp.in</t>
  </si>
  <si>
    <t>Technique 3 — Standardize Text Case</t>
  </si>
  <si>
    <t>Sales Rep</t>
  </si>
  <si>
    <t>Region (Raw)</t>
  </si>
  <si>
    <t>Rep A</t>
  </si>
  <si>
    <t>north</t>
  </si>
  <si>
    <t>₹1,20,000</t>
  </si>
  <si>
    <t>Rep B</t>
  </si>
  <si>
    <t>SOUTH</t>
  </si>
  <si>
    <t>₹98,000</t>
  </si>
  <si>
    <t>Rep C</t>
  </si>
  <si>
    <t>North</t>
  </si>
  <si>
    <t>₹2,10,000</t>
  </si>
  <si>
    <t>Rep D</t>
  </si>
  <si>
    <t>south</t>
  </si>
  <si>
    <t>Rep E</t>
  </si>
  <si>
    <t>NORTH</t>
  </si>
  <si>
    <t>₹1,50,000</t>
  </si>
  <si>
    <t>South</t>
  </si>
  <si>
    <t>Technique 4 — Fix Date Formats</t>
  </si>
  <si>
    <t>Emp ID</t>
  </si>
  <si>
    <t>Date (Raw Text)</t>
  </si>
  <si>
    <t>Dept</t>
  </si>
  <si>
    <t>E001</t>
  </si>
  <si>
    <t>HR</t>
  </si>
  <si>
    <t>E002</t>
  </si>
  <si>
    <t>2024/01/15</t>
  </si>
  <si>
    <t>Finance</t>
  </si>
  <si>
    <t>E003</t>
  </si>
  <si>
    <t>Jan 20 2024</t>
  </si>
  <si>
    <t>Sales</t>
  </si>
  <si>
    <t>E004</t>
  </si>
  <si>
    <t>20240125</t>
  </si>
  <si>
    <t>IT</t>
  </si>
  <si>
    <t>15-Jan-2024</t>
  </si>
  <si>
    <t>20-Jan-2024</t>
  </si>
  <si>
    <t>25-Jan-2024</t>
  </si>
  <si>
    <t>Technique 5 — Handle Missing Values</t>
  </si>
  <si>
    <t>Name</t>
  </si>
  <si>
    <t>Region</t>
  </si>
  <si>
    <t>Score</t>
  </si>
  <si>
    <t>85</t>
  </si>
  <si>
    <t>72</t>
  </si>
  <si>
    <t>East</t>
  </si>
  <si>
    <t>Unknown</t>
  </si>
  <si>
    <t>Unassigned</t>
  </si>
  <si>
    <t>Technique 6 — Split Combined Columns</t>
  </si>
  <si>
    <t>Full Name</t>
  </si>
  <si>
    <t>First Name</t>
  </si>
  <si>
    <t>Last Name</t>
  </si>
  <si>
    <t>deepa@corp.in</t>
  </si>
  <si>
    <t>Priya</t>
  </si>
  <si>
    <t>Sharma</t>
  </si>
  <si>
    <t>Rahul</t>
  </si>
  <si>
    <t>Mehta</t>
  </si>
  <si>
    <t>Deepa</t>
  </si>
  <si>
    <t>Krishnan</t>
  </si>
  <si>
    <t>Technique 7 — Remove Non-Numeric Chars</t>
  </si>
  <si>
    <t>Units</t>
  </si>
  <si>
    <t>Rs. 7,50,000</t>
  </si>
  <si>
    <t>10</t>
  </si>
  <si>
    <t>Mouse</t>
  </si>
  <si>
    <t>Rs. 12,000</t>
  </si>
  <si>
    <t>Monitor</t>
  </si>
  <si>
    <t>₹3,20,000</t>
  </si>
  <si>
    <t>32</t>
  </si>
  <si>
    <t>INR 45,000</t>
  </si>
  <si>
    <t>750000</t>
  </si>
  <si>
    <t>12000</t>
  </si>
  <si>
    <t>320000</t>
  </si>
  <si>
    <t>45000</t>
  </si>
  <si>
    <t>Technique 8 — Validate Data Ranges</t>
  </si>
  <si>
    <t>Age</t>
  </si>
  <si>
    <t>Valid?</t>
  </si>
  <si>
    <t>17</t>
  </si>
  <si>
    <t>45</t>
  </si>
  <si>
    <t>Valid</t>
  </si>
  <si>
    <t>Invalid</t>
  </si>
  <si>
    <t>Technique 9 — Standardize Category Labels</t>
  </si>
  <si>
    <t>SKU</t>
  </si>
  <si>
    <t>Category (Raw)</t>
  </si>
  <si>
    <t>Std Category</t>
  </si>
  <si>
    <t>SKU-01</t>
  </si>
  <si>
    <t>laptop</t>
  </si>
  <si>
    <t>SKU-02</t>
  </si>
  <si>
    <t>LAPTOP</t>
  </si>
  <si>
    <t>SKU-03</t>
  </si>
  <si>
    <t>Lap Top</t>
  </si>
  <si>
    <t>SKU-04</t>
  </si>
  <si>
    <t>Technique 10 — Combine &amp; Reconcile Columns</t>
  </si>
  <si>
    <t>First</t>
  </si>
  <si>
    <t>Last</t>
  </si>
  <si>
    <t>City</t>
  </si>
  <si>
    <t>Pincode</t>
  </si>
  <si>
    <t>Full Address</t>
  </si>
  <si>
    <t>Mumbai</t>
  </si>
  <si>
    <t>400001</t>
  </si>
  <si>
    <t>Delhi</t>
  </si>
  <si>
    <t>110001</t>
  </si>
  <si>
    <t>Bangalore</t>
  </si>
  <si>
    <t>560001</t>
  </si>
  <si>
    <t>Priya Sharma, Mumbai, 400001</t>
  </si>
  <si>
    <t>Rahul Mehta, Delhi, 110001</t>
  </si>
  <si>
    <t>Deepa Krishnan, Bangalore, 560001</t>
  </si>
  <si>
    <t>🔢  FORMULA CHEAT SHEET — Data Cleaning for Excel Dashboard  |  Quick reference: all key formulas with syntax, notes and technique mapping</t>
  </si>
  <si>
    <t>Task</t>
  </si>
  <si>
    <t>Formula / Syntax</t>
  </si>
  <si>
    <t>Find duplicates</t>
  </si>
  <si>
    <t>COUNTIF($A$2:$A2, A2) &gt; 1</t>
  </si>
  <si>
    <t>TRUE = duplicate row; filter &amp; delete</t>
  </si>
  <si>
    <t>T1</t>
  </si>
  <si>
    <t>Remove duplicates (UI)</t>
  </si>
  <si>
    <t>Data &gt; Remove Duplicates &gt; Select columns &gt; OK</t>
  </si>
  <si>
    <t>Select key column (e.g. Order ID)</t>
  </si>
  <si>
    <t>Remove extra spaces</t>
  </si>
  <si>
    <t>Handles spaces + invisible chars (ASCII 0-31)</t>
  </si>
  <si>
    <t>T2</t>
  </si>
  <si>
    <t>Title case</t>
  </si>
  <si>
    <t>First letter of each word capitalised</t>
  </si>
  <si>
    <t>T3</t>
  </si>
  <si>
    <t>Upper case</t>
  </si>
  <si>
    <t>UPPER(A2)</t>
  </si>
  <si>
    <t>Use for codes, IDs, email addresses</t>
  </si>
  <si>
    <t>Lower case</t>
  </si>
  <si>
    <t>LOWER(A2)</t>
  </si>
  <si>
    <t>Use for email standardisation</t>
  </si>
  <si>
    <t>Convert date text</t>
  </si>
  <si>
    <t>Format result cell as Date after applying</t>
  </si>
  <si>
    <t>T4</t>
  </si>
  <si>
    <t>Build date from parts</t>
  </si>
  <si>
    <t>DATE(RIGHT(A2,4), MID(A2,4,2), LEFT(A2,2))</t>
  </si>
  <si>
    <t>For DD-MM-YYYY text format</t>
  </si>
  <si>
    <t>Fill blank text</t>
  </si>
  <si>
    <t>IF(ISBLANK(A2), "Unknown", A2)</t>
  </si>
  <si>
    <t>Replace blank with a default label</t>
  </si>
  <si>
    <t>T5</t>
  </si>
  <si>
    <t>Fill blank number</t>
  </si>
  <si>
    <t>IF(ISBLANK(A2), 0, A2)</t>
  </si>
  <si>
    <t>Replace blank numeric cell with zero</t>
  </si>
  <si>
    <t>Trap formula errors</t>
  </si>
  <si>
    <t>IFERROR(your_formula, "N/A")</t>
  </si>
  <si>
    <t>Wrap any formula to catch all errors</t>
  </si>
  <si>
    <t>First name</t>
  </si>
  <si>
    <t>LEFT(A2, FIND(" ", A2)-1)</t>
  </si>
  <si>
    <t>Extracts text before the first space</t>
  </si>
  <si>
    <t>T6</t>
  </si>
  <si>
    <t>Last name</t>
  </si>
  <si>
    <t>MID(A2, FIND(" ", A2)+1, LEN(A2))</t>
  </si>
  <si>
    <t>Extracts text after the first space</t>
  </si>
  <si>
    <t>Remove "Rs." &amp; commas</t>
  </si>
  <si>
    <t>Convert to number; format as Currency</t>
  </si>
  <si>
    <t>T7</t>
  </si>
  <si>
    <t>Flag out-of-range</t>
  </si>
  <si>
    <t>IF(AND(A2&gt;=18, A2&lt;=65), "Valid", "Invalid")</t>
  </si>
  <si>
    <t>Adjust min/max bounds as required</t>
  </si>
  <si>
    <t>T8</t>
  </si>
  <si>
    <t>Avg ignoring outliers</t>
  </si>
  <si>
    <t>AVERAGEIFS(A2:A10, A2:A10, "&gt;="&amp;18, A2:A10, "&lt;="&amp;65)</t>
  </si>
  <si>
    <t>Only averages values in valid range</t>
  </si>
  <si>
    <t>Count valid range</t>
  </si>
  <si>
    <t>COUNTIFS(A2:A10, "&gt;="&amp;18, A2:A10, "&lt;="&amp;65)</t>
  </si>
  <si>
    <t>Count numeric rows within valid bounds</t>
  </si>
  <si>
    <t>Standardise via lookup</t>
  </si>
  <si>
    <t>IFERROR(VLOOKUP(UPPER(A2), MapTable, 2, 0), PROPER(A2))</t>
  </si>
  <si>
    <t>Needs 2-col mapping table</t>
  </si>
  <si>
    <t>T9</t>
  </si>
  <si>
    <t>Join columns</t>
  </si>
  <si>
    <t>TEXTJOIN(", ", TRUE, A2, B2, C2)</t>
  </si>
  <si>
    <t>Skips blanks automatically (TRUE)</t>
  </si>
  <si>
    <t>T10</t>
  </si>
  <si>
    <t>Composite unique key</t>
  </si>
  <si>
    <t>A2 &amp; "-" &amp; TEXT(B2, "YYYYMMDD")</t>
  </si>
  <si>
    <t>Creates e.g. C001-20240115</t>
  </si>
  <si>
    <t>📋  DASHBOARD READINESS CHECKLIST — Pre-Deployment Quality Gate  |  Verify all 10 items before connecting cleaned dataset to the Excel Dashboard</t>
  </si>
  <si>
    <t>Checklist Item</t>
  </si>
  <si>
    <t>How to Verify</t>
  </si>
  <si>
    <t>Responsible</t>
  </si>
  <si>
    <t>Due Date</t>
  </si>
  <si>
    <t>No duplicate rows</t>
  </si>
  <si>
    <t>COUNTIF on key column — all values = 1</t>
  </si>
  <si>
    <t>No extra spaces in text fields</t>
  </si>
  <si>
    <t>LEN(TRIM(A2))=LEN(A2) is TRUE for all rows</t>
  </si>
  <si>
    <t>Consistent text casing</t>
  </si>
  <si>
    <t>Unique values in category cols match expected list</t>
  </si>
  <si>
    <t>All dates are true date serials</t>
  </si>
  <si>
    <t>ISNUMBER(A2)=TRUE for all date cells</t>
  </si>
  <si>
    <t>No unexpected blank cells</t>
  </si>
  <si>
    <t>COUNTBLANK returns 0 for all mandatory columns</t>
  </si>
  <si>
    <t>All numeric fields are numbers</t>
  </si>
  <si>
    <t>ISNUMBER returns TRUE; no left-aligned numbers</t>
  </si>
  <si>
    <t>Category labels standardised</t>
  </si>
  <si>
    <t>Pivot on category col; unique count matches expected</t>
  </si>
  <si>
    <t>No out-of-range values</t>
  </si>
  <si>
    <t>MIN and MAX match expected bounds for each numeric col</t>
  </si>
  <si>
    <t>Data formatted as Excel Table</t>
  </si>
  <si>
    <t>Ctrl+T applied — enables dynamic named ranges</t>
  </si>
  <si>
    <t>Backup of raw data retained</t>
  </si>
  <si>
    <t>Original sheet or workbook copy preserved before cleaning</t>
  </si>
  <si>
    <t>💡 PRO TIP: Always convert your clean dataset into an Excel Table (Ctrl+T) before building PivotTables or charts. Tables expand automatically when new rows are added, keeping your dashboard up to date without manual range updates.</t>
  </si>
  <si>
    <t>STATUS SUMMARY</t>
  </si>
  <si>
    <t>Count</t>
  </si>
  <si>
    <t>DATA CLEANING PROCESS SUMMARY</t>
  </si>
  <si>
    <t>Step</t>
  </si>
  <si>
    <t>Raw Data Issue</t>
  </si>
  <si>
    <t>Cleaning Applied</t>
  </si>
  <si>
    <t>Result</t>
  </si>
  <si>
    <t>Inconsistent Phase Names</t>
  </si>
  <si>
    <t>Standardized Phase labels</t>
  </si>
  <si>
    <t>Phase formatting fixed</t>
  </si>
  <si>
    <t>Mixed Status Values</t>
  </si>
  <si>
    <t>Normalized status names</t>
  </si>
  <si>
    <t>Readable project tracking</t>
  </si>
  <si>
    <t>Currency format mismatch</t>
  </si>
  <si>
    <t>Converted values to numeric format</t>
  </si>
  <si>
    <t>Revenue usable in charts</t>
  </si>
  <si>
    <t>Percentage inconsistencies</t>
  </si>
  <si>
    <t>Converted to decimal format</t>
  </si>
  <si>
    <t>Dashboard compatible</t>
  </si>
  <si>
    <t>Text spacing and casing</t>
  </si>
  <si>
    <t>Used TRIM / PROPER logic</t>
  </si>
  <si>
    <t>Human-readable text</t>
  </si>
  <si>
    <t>Missing values</t>
  </si>
  <si>
    <t>Validated timelines and rows</t>
  </si>
  <si>
    <t>Data consistency improved</t>
  </si>
  <si>
    <t>Raw data verification</t>
  </si>
  <si>
    <t>Checked total records</t>
  </si>
  <si>
    <t>150 rows preserved</t>
  </si>
  <si>
    <t>Validation</t>
  </si>
  <si>
    <t>Raw Data Rows</t>
  </si>
  <si>
    <t>Cleaned Data Rows</t>
  </si>
  <si>
    <t>Row Count Match</t>
  </si>
  <si>
    <t>YES</t>
  </si>
  <si>
    <t>Hyperlinks Added</t>
  </si>
  <si>
    <t>Chart Added</t>
  </si>
  <si>
    <t>Formatting Checked</t>
  </si>
  <si>
    <t>Raw Data Preserved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</si>
</sst>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"/>
  </numFmts>
  <fonts count="46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9"/>
      <color rgb="FFCCDDFF"/>
      <name val="Arial"/>
      <charset val="1"/>
    </font>
    <font>
      <b/>
      <sz val="10"/>
      <color rgb="FFFFFFFF"/>
      <name val="Arial"/>
      <charset val="1"/>
    </font>
    <font>
      <b/>
      <sz val="9"/>
      <color rgb="FF333333"/>
      <name val="Arial"/>
      <charset val="1"/>
    </font>
    <font>
      <sz val="9"/>
      <color rgb="FF111111"/>
      <name val="Arial"/>
      <charset val="1"/>
    </font>
    <font>
      <b/>
      <sz val="9"/>
      <color rgb="FFC0392B"/>
      <name val="Arial"/>
      <charset val="1"/>
    </font>
    <font>
      <b/>
      <sz val="9"/>
      <color rgb="FFD4700A"/>
      <name val="Arial"/>
      <charset val="1"/>
    </font>
    <font>
      <b/>
      <sz val="9"/>
      <color rgb="FFFFFFFF"/>
      <name val="Arial"/>
      <charset val="1"/>
    </font>
    <font>
      <b/>
      <sz val="20"/>
      <color rgb="FF1F6FBF"/>
      <name val="Arial"/>
      <charset val="1"/>
    </font>
    <font>
      <b/>
      <sz val="20"/>
      <color rgb="FF1A9C3E"/>
      <name val="Arial"/>
      <charset val="1"/>
    </font>
    <font>
      <b/>
      <sz val="20"/>
      <color rgb="FFD4700A"/>
      <name val="Arial"/>
      <charset val="1"/>
    </font>
    <font>
      <b/>
      <sz val="20"/>
      <color rgb="FFC0392B"/>
      <name val="Arial"/>
      <charset val="1"/>
    </font>
    <font>
      <b/>
      <sz val="20"/>
      <color rgb="FF6A0DAD"/>
      <name val="Arial"/>
      <charset val="1"/>
    </font>
    <font>
      <b/>
      <sz val="8"/>
      <color rgb="FFFFFFFF"/>
      <name val="Arial"/>
      <charset val="1"/>
    </font>
    <font>
      <sz val="9"/>
      <name val="Arial"/>
      <charset val="1"/>
    </font>
    <font>
      <b/>
      <sz val="12"/>
      <color rgb="FFFFFFFF"/>
      <name val="Calibri"/>
      <charset val="1"/>
    </font>
    <font>
      <b/>
      <sz val="9"/>
      <color rgb="FFFFFFFF"/>
      <name val="Calibri"/>
      <charset val="1"/>
    </font>
    <font>
      <sz val="9"/>
      <color rgb="FF000000"/>
      <name val="Calibri"/>
      <charset val="1"/>
    </font>
    <font>
      <sz val="9"/>
      <color rgb="FFCC3300"/>
      <name val="Calibri"/>
      <charset val="1"/>
    </font>
    <font>
      <sz val="9"/>
      <name val="Calibri"/>
      <charset val="1"/>
    </font>
    <font>
      <b/>
      <sz val="13"/>
      <color rgb="FFFFFFFF"/>
      <name val="Arial"/>
      <charset val="1"/>
    </font>
    <font>
      <b/>
      <sz val="9"/>
      <name val="Arial"/>
      <charset val="1"/>
    </font>
    <font>
      <sz val="11"/>
      <color rgb="FF4472C4"/>
      <name val="Calibri"/>
      <charset val="1"/>
    </font>
    <font>
      <sz val="11"/>
      <color rgb="FF70AD47"/>
      <name val="Calibri"/>
      <charset val="1"/>
    </font>
    <font>
      <sz val="11"/>
      <color rgb="FFED7D31"/>
      <name val="Calibri"/>
      <charset val="1"/>
    </font>
    <font>
      <b/>
      <sz val="8"/>
      <color rgb="FF555555"/>
      <name val="Arial"/>
      <charset val="1"/>
    </font>
    <font>
      <sz val="11"/>
      <color rgb="FFC00000"/>
      <name val="Calibri"/>
      <charset val="1"/>
    </font>
    <font>
      <b/>
      <sz val="8"/>
      <color rgb="FF333333"/>
      <name val="Arial"/>
      <charset val="1"/>
    </font>
    <font>
      <b/>
      <sz val="9"/>
      <name val="Calibri"/>
      <charset val="1"/>
    </font>
    <font>
      <b/>
      <sz val="10"/>
      <color rgb="FFFFFFFF"/>
      <name val="Calibri"/>
      <charset val="1"/>
    </font>
    <font>
      <i/>
      <sz val="9"/>
      <name val="Calibri"/>
      <charset val="1"/>
    </font>
    <font>
      <b/>
      <i/>
      <sz val="9"/>
      <color rgb="FF922B21"/>
      <name val="Calibri"/>
      <charset val="1"/>
    </font>
    <font>
      <sz val="9"/>
      <color rgb="FFCC0000"/>
      <name val="Calibri"/>
      <charset val="1"/>
    </font>
    <font>
      <b/>
      <i/>
      <sz val="9"/>
      <color rgb="FF1A6B1A"/>
      <name val="Calibri"/>
      <charset val="1"/>
    </font>
    <font>
      <sz val="9"/>
      <color rgb="FF00008B"/>
      <name val="Courier New"/>
      <charset val="1"/>
    </font>
    <font>
      <sz val="9"/>
      <color rgb="FF1A6B1A"/>
      <name val="Calibri"/>
      <charset val="1"/>
    </font>
    <font>
      <b/>
      <sz val="9"/>
      <color rgb="FF1A6B1A"/>
      <name val="Calibri"/>
      <charset val="1"/>
    </font>
    <font>
      <sz val="9"/>
      <color rgb="FF8B5E00"/>
      <name val="Calibri"/>
      <charset val="1"/>
    </font>
    <font>
      <b/>
      <sz val="9"/>
      <color rgb="FF8B5E00"/>
      <name val="Calibri"/>
      <charset val="1"/>
    </font>
    <font>
      <b/>
      <sz val="9"/>
      <color rgb="FF000000"/>
      <name val="Calibri"/>
      <charset val="1"/>
    </font>
    <font>
      <b/>
      <i/>
      <sz val="9"/>
      <color rgb="FF2980B9"/>
      <name val="Calibri"/>
      <charset val="1"/>
    </font>
    <font>
      <b/>
      <u/>
      <sz val="11"/>
      <color rgb="FF0000FF"/>
      <name val="Calibri"/>
    </font>
    <font>
      <b/>
      <sz val="16"/>
      <name val="Calibri"/>
    </font>
    <font>
      <b/>
      <sz val="11"/>
      <name val="Calibri"/>
    </font>
    <font>
      <u/>
      <sz val="11"/>
      <color theme="10"/>
      <name val="Calibri"/>
      <family val="2"/>
      <charset val="1"/>
    </font>
  </fonts>
  <fills count="53">
    <fill>
      <patternFill patternType="none"/>
    </fill>
    <fill>
      <patternFill patternType="gray125"/>
    </fill>
    <fill>
      <patternFill patternType="darkGray">
        <fgColor rgb="FF1A252F"/>
        <bgColor rgb="FF10174E"/>
      </patternFill>
    </fill>
    <fill>
      <patternFill patternType="solid">
        <fgColor rgb="FF273F6C"/>
        <bgColor rgb="FF2D3A46"/>
      </patternFill>
    </fill>
    <fill>
      <patternFill patternType="solid">
        <fgColor rgb="FF1F70BF"/>
        <bgColor rgb="FF0563C1"/>
      </patternFill>
    </fill>
    <fill>
      <patternFill patternType="solid">
        <fgColor rgb="FFEEF2F7"/>
        <bgColor rgb="FFEBF5FB"/>
      </patternFill>
    </fill>
    <fill>
      <patternFill patternType="solid">
        <fgColor rgb="FFF9FAFB"/>
        <bgColor rgb="FFF8F9FA"/>
      </patternFill>
    </fill>
    <fill>
      <patternFill patternType="solid">
        <fgColor rgb="FF1A9C3E"/>
        <bgColor rgb="FF1A6B1A"/>
      </patternFill>
    </fill>
    <fill>
      <patternFill patternType="solid">
        <fgColor rgb="FFD7710A"/>
        <bgColor rgb="FFF39C12"/>
      </patternFill>
    </fill>
    <fill>
      <patternFill patternType="solid">
        <fgColor rgb="FFC2381E"/>
        <bgColor rgb="FF8F3809"/>
      </patternFill>
    </fill>
    <fill>
      <patternFill patternType="solid">
        <fgColor rgb="FF6A0DAD"/>
        <bgColor rgb="FF273F6C"/>
      </patternFill>
    </fill>
    <fill>
      <patternFill patternType="solid">
        <fgColor rgb="FFF0F4FF"/>
        <bgColor rgb="FFEBF5FB"/>
      </patternFill>
    </fill>
    <fill>
      <patternFill patternType="solid">
        <fgColor rgb="FFF4F9F4"/>
        <bgColor rgb="FFF8F9FA"/>
      </patternFill>
    </fill>
    <fill>
      <patternFill patternType="solid">
        <fgColor rgb="FFE8F4FD"/>
        <bgColor rgb="FFEBF5FB"/>
      </patternFill>
    </fill>
    <fill>
      <patternFill patternType="solid">
        <fgColor rgb="FFE8F8EE"/>
        <bgColor rgb="FFEAFAF1"/>
      </patternFill>
    </fill>
    <fill>
      <patternFill patternType="solid">
        <fgColor rgb="FFFEF9E7"/>
        <bgColor rgb="FFF9F9F9"/>
      </patternFill>
    </fill>
    <fill>
      <patternFill patternType="solid">
        <fgColor rgb="FFFEF5FB"/>
        <bgColor rgb="FFF9F9F9"/>
      </patternFill>
    </fill>
    <fill>
      <patternFill patternType="darkGray">
        <fgColor rgb="FF6A597C"/>
        <bgColor rgb="FF6A0DAD"/>
      </patternFill>
    </fill>
    <fill>
      <patternFill patternType="solid">
        <fgColor rgb="FFFDFEFE"/>
        <bgColor rgb="FFFFFFFF"/>
      </patternFill>
    </fill>
    <fill>
      <patternFill patternType="darkGray">
        <fgColor rgb="FF6A597C"/>
        <bgColor rgb="FF4972B5"/>
      </patternFill>
    </fill>
    <fill>
      <patternFill patternType="solid">
        <fgColor rgb="FFFDEDEC"/>
        <bgColor rgb="FFFEF5FB"/>
      </patternFill>
    </fill>
    <fill>
      <patternFill patternType="solid">
        <fgColor rgb="FFF9F9F9"/>
        <bgColor rgb="FFF8F9FA"/>
      </patternFill>
    </fill>
    <fill>
      <patternFill patternType="solid">
        <fgColor rgb="FF819374"/>
        <bgColor rgb="FFAAAAAA"/>
      </patternFill>
    </fill>
    <fill>
      <patternFill patternType="solid">
        <fgColor rgb="FF6A597C"/>
        <bgColor rgb="FF4972B5"/>
      </patternFill>
    </fill>
    <fill>
      <patternFill patternType="darkGray">
        <fgColor rgb="FF8F3809"/>
        <bgColor rgb="FFC2381E"/>
      </patternFill>
    </fill>
    <fill>
      <patternFill patternType="darkGray">
        <fgColor rgb="FF2D3A46"/>
        <bgColor rgb="FF273F6C"/>
      </patternFill>
    </fill>
    <fill>
      <patternFill patternType="solid">
        <fgColor rgb="FFF8F9FA"/>
        <bgColor rgb="FFF9F9F9"/>
      </patternFill>
    </fill>
    <fill>
      <patternFill patternType="solid">
        <fgColor rgb="FFEAECEE"/>
        <bgColor rgb="FFE8ECF5"/>
      </patternFill>
    </fill>
    <fill>
      <patternFill patternType="solid">
        <fgColor rgb="FF273F6C"/>
        <bgColor rgb="FF2D3A46"/>
      </patternFill>
    </fill>
    <fill>
      <patternFill patternType="solid">
        <fgColor rgb="FFA9DFBF"/>
        <bgColor rgb="FFBDC3C7"/>
      </patternFill>
    </fill>
    <fill>
      <patternFill patternType="solid">
        <fgColor rgb="FFFAD7A0"/>
        <bgColor rgb="FFFAD7D5"/>
      </patternFill>
    </fill>
    <fill>
      <patternFill patternType="solid">
        <fgColor rgb="FFD6DBDF"/>
        <bgColor rgb="FFDDDDDD"/>
      </patternFill>
    </fill>
    <fill>
      <patternFill patternType="solid">
        <fgColor rgb="FFD6E8F7"/>
        <bgColor rgb="FFD5E4F5"/>
      </patternFill>
    </fill>
    <fill>
      <patternFill patternType="solid">
        <fgColor rgb="FF2ECC71"/>
        <bgColor rgb="FF1A9C3E"/>
      </patternFill>
    </fill>
    <fill>
      <patternFill patternType="solid">
        <fgColor rgb="FFEEEEEE"/>
        <bgColor rgb="FFEAECEE"/>
      </patternFill>
    </fill>
    <fill>
      <patternFill patternType="solid">
        <fgColor rgb="FFF5F5F5"/>
        <bgColor rgb="FFF4F9F4"/>
      </patternFill>
    </fill>
    <fill>
      <patternFill patternType="solid">
        <fgColor rgb="FFD5F0DE"/>
        <bgColor rgb="FFD5F5E3"/>
      </patternFill>
    </fill>
    <fill>
      <patternFill patternType="solid">
        <fgColor rgb="FFF39C12"/>
        <bgColor rgb="FFD7710A"/>
      </patternFill>
    </fill>
    <fill>
      <patternFill patternType="solid">
        <fgColor rgb="FFFDE8D1"/>
        <bgColor rgb="FFFDEDEC"/>
      </patternFill>
    </fill>
    <fill>
      <patternFill patternType="solid">
        <fgColor rgb="FFE0E0E0"/>
        <bgColor rgb="FFDDDDDD"/>
      </patternFill>
    </fill>
    <fill>
      <patternFill patternType="solid">
        <fgColor rgb="FFBBBBBB"/>
        <bgColor rgb="FFBDC3C7"/>
      </patternFill>
    </fill>
    <fill>
      <patternFill patternType="solid">
        <fgColor rgb="FFFAD7D5"/>
        <bgColor rgb="FFFADBD8"/>
      </patternFill>
    </fill>
    <fill>
      <patternFill patternType="solid">
        <fgColor rgb="FFE8ECF5"/>
        <bgColor rgb="FFEAECEE"/>
      </patternFill>
    </fill>
    <fill>
      <patternFill patternType="solid">
        <fgColor rgb="FF1A252F"/>
        <bgColor rgb="FF10174E"/>
      </patternFill>
    </fill>
    <fill>
      <patternFill patternType="solid">
        <fgColor rgb="FFBDC3C7"/>
        <bgColor rgb="FFBBBBBB"/>
      </patternFill>
    </fill>
    <fill>
      <patternFill patternType="solid">
        <fgColor rgb="FFD5E4F5"/>
        <bgColor rgb="FFD6E8F7"/>
      </patternFill>
    </fill>
    <fill>
      <patternFill patternType="solid">
        <fgColor rgb="FFD5F5E3"/>
        <bgColor rgb="FFD5F0DE"/>
      </patternFill>
    </fill>
    <fill>
      <patternFill patternType="solid">
        <fgColor rgb="FFFADBD8"/>
        <bgColor rgb="FFFAD7D5"/>
      </patternFill>
    </fill>
    <fill>
      <patternFill patternType="solid">
        <fgColor rgb="FFF1948A"/>
        <bgColor rgb="FFF39C12"/>
      </patternFill>
    </fill>
    <fill>
      <patternFill patternType="solid">
        <fgColor rgb="FFEAFAF1"/>
        <bgColor rgb="FFE8F8EE"/>
      </patternFill>
    </fill>
    <fill>
      <patternFill patternType="solid">
        <fgColor rgb="FFEBF5FB"/>
        <bgColor rgb="FFE8F4FD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31">
    <border>
      <left/>
      <right/>
      <top/>
      <bottom/>
      <diagonal/>
    </border>
    <border>
      <left style="thin">
        <color rgb="FFAAB7B8"/>
      </left>
      <right/>
      <top style="thin">
        <color rgb="FFAAB7B8"/>
      </top>
      <bottom style="thin">
        <color rgb="FFAAB7B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1F70BF"/>
      </left>
      <right style="thin">
        <color rgb="FF1F70BF"/>
      </right>
      <top style="thin">
        <color rgb="FF1F70BF"/>
      </top>
      <bottom style="thin">
        <color rgb="FF1F70BF"/>
      </bottom>
      <diagonal/>
    </border>
    <border>
      <left style="thin">
        <color rgb="FF1A9C3E"/>
      </left>
      <right style="thin">
        <color rgb="FF1A9C3E"/>
      </right>
      <top style="thin">
        <color rgb="FF1A9C3E"/>
      </top>
      <bottom style="thin">
        <color rgb="FF1A9C3E"/>
      </bottom>
      <diagonal/>
    </border>
    <border>
      <left style="thin">
        <color rgb="FFD7710A"/>
      </left>
      <right style="thin">
        <color rgb="FFD7710A"/>
      </right>
      <top style="thin">
        <color rgb="FFD7710A"/>
      </top>
      <bottom style="thin">
        <color rgb="FFD7710A"/>
      </bottom>
      <diagonal/>
    </border>
    <border>
      <left style="thin">
        <color rgb="FFC2381E"/>
      </left>
      <right style="thin">
        <color rgb="FFC2381E"/>
      </right>
      <top style="thin">
        <color rgb="FFC2381E"/>
      </top>
      <bottom style="thin">
        <color rgb="FFC2381E"/>
      </bottom>
      <diagonal/>
    </border>
    <border>
      <left style="thin">
        <color rgb="FF6A0DAD"/>
      </left>
      <right style="thin">
        <color rgb="FF6A0DAD"/>
      </right>
      <top style="thin">
        <color rgb="FF6A0DAD"/>
      </top>
      <bottom style="thin">
        <color rgb="FF6A0DAD"/>
      </bottom>
      <diagonal/>
    </border>
    <border>
      <left style="thin">
        <color rgb="FF4972B5"/>
      </left>
      <right style="thin">
        <color rgb="FF4972B5"/>
      </right>
      <top style="thin">
        <color rgb="FF4972B5"/>
      </top>
      <bottom style="thin">
        <color rgb="FF4972B5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AAB7B8"/>
      </left>
      <right style="thin">
        <color rgb="FFAAB7B8"/>
      </right>
      <top style="thin">
        <color rgb="FFAAB7B8"/>
      </top>
      <bottom style="thin">
        <color rgb="FFAAB7B8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B7B8"/>
      </top>
      <bottom style="thin">
        <color rgb="FFAAB7B8"/>
      </bottom>
      <diagonal/>
    </border>
    <border>
      <left style="thin">
        <color rgb="FF2ECC71"/>
      </left>
      <right style="thin">
        <color rgb="FF2ECC71"/>
      </right>
      <top style="thin">
        <color rgb="FF2ECC71"/>
      </top>
      <bottom style="thin">
        <color rgb="FF2ECC7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F39C12"/>
      </left>
      <right style="thin">
        <color rgb="FFF39C12"/>
      </right>
      <top style="thin">
        <color rgb="FFF39C12"/>
      </top>
      <bottom style="thin">
        <color rgb="FFF39C12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1F70BF"/>
      </right>
      <top style="thin">
        <color rgb="FF1F70BF"/>
      </top>
      <bottom style="thin">
        <color rgb="FF1F70BF"/>
      </bottom>
      <diagonal/>
    </border>
    <border>
      <left/>
      <right style="thin">
        <color rgb="FF1A9C3E"/>
      </right>
      <top style="thin">
        <color rgb="FF1A9C3E"/>
      </top>
      <bottom style="thin">
        <color rgb="FF1A9C3E"/>
      </bottom>
      <diagonal/>
    </border>
    <border>
      <left/>
      <right style="thin">
        <color rgb="FFD7710A"/>
      </right>
      <top style="thin">
        <color rgb="FFD7710A"/>
      </top>
      <bottom style="thin">
        <color rgb="FFD7710A"/>
      </bottom>
      <diagonal/>
    </border>
    <border>
      <left/>
      <right style="thin">
        <color rgb="FFC2381E"/>
      </right>
      <top style="thin">
        <color rgb="FFC2381E"/>
      </top>
      <bottom style="thin">
        <color rgb="FFC2381E"/>
      </bottom>
      <diagonal/>
    </border>
    <border>
      <left/>
      <right style="thin">
        <color rgb="FF6A0DAD"/>
      </right>
      <top style="thin">
        <color rgb="FF6A0DAD"/>
      </top>
      <bottom style="thin">
        <color rgb="FF6A0DA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5" fillId="0" borderId="0" applyNumberFormat="0" applyFill="0" applyBorder="0" applyAlignment="0" applyProtection="0"/>
  </cellStyleXfs>
  <cellXfs count="211">
    <xf numFmtId="0" fontId="0" fillId="0" borderId="0" xfId="0"/>
    <xf numFmtId="0" fontId="0" fillId="4" borderId="0" xfId="0" applyFill="1"/>
    <xf numFmtId="0" fontId="4" fillId="5" borderId="2" xfId="0" applyFont="1" applyFill="1" applyBorder="1" applyAlignment="1">
      <alignment horizontal="left" vertical="center" indent="1"/>
    </xf>
    <xf numFmtId="0" fontId="0" fillId="3" borderId="0" xfId="0" applyFill="1"/>
    <xf numFmtId="0" fontId="8" fillId="3" borderId="10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left" vertical="center"/>
    </xf>
    <xf numFmtId="0" fontId="14" fillId="4" borderId="11" xfId="0" applyFont="1" applyFill="1" applyBorder="1" applyAlignment="1">
      <alignment horizontal="center" vertical="center"/>
    </xf>
    <xf numFmtId="0" fontId="14" fillId="7" borderId="11" xfId="0" applyFont="1" applyFill="1" applyBorder="1" applyAlignment="1">
      <alignment horizontal="center" vertical="center"/>
    </xf>
    <xf numFmtId="0" fontId="14" fillId="8" borderId="11" xfId="0" applyFont="1" applyFill="1" applyBorder="1" applyAlignment="1">
      <alignment horizontal="center" vertical="center"/>
    </xf>
    <xf numFmtId="0" fontId="14" fillId="17" borderId="11" xfId="0" applyFont="1" applyFill="1" applyBorder="1" applyAlignment="1">
      <alignment horizontal="center" vertical="center"/>
    </xf>
    <xf numFmtId="0" fontId="14" fillId="19" borderId="11" xfId="0" applyFont="1" applyFill="1" applyBorder="1" applyAlignment="1">
      <alignment horizontal="center" vertical="center"/>
    </xf>
    <xf numFmtId="0" fontId="14" fillId="9" borderId="11" xfId="0" applyFont="1" applyFill="1" applyBorder="1" applyAlignment="1">
      <alignment horizontal="center" vertical="center"/>
    </xf>
    <xf numFmtId="0" fontId="15" fillId="21" borderId="11" xfId="0" applyFont="1" applyFill="1" applyBorder="1" applyAlignment="1">
      <alignment horizontal="center" vertical="center"/>
    </xf>
    <xf numFmtId="0" fontId="15" fillId="21" borderId="11" xfId="0" applyFont="1" applyFill="1" applyBorder="1" applyAlignment="1">
      <alignment horizontal="left" vertical="center" indent="1"/>
    </xf>
    <xf numFmtId="0" fontId="14" fillId="22" borderId="11" xfId="0" applyFont="1" applyFill="1" applyBorder="1" applyAlignment="1">
      <alignment horizontal="center" vertical="center"/>
    </xf>
    <xf numFmtId="0" fontId="14" fillId="23" borderId="11" xfId="0" applyFont="1" applyFill="1" applyBorder="1" applyAlignment="1">
      <alignment horizontal="center" vertical="center"/>
    </xf>
    <xf numFmtId="0" fontId="17" fillId="25" borderId="12" xfId="0" applyFont="1" applyFill="1" applyBorder="1" applyAlignment="1">
      <alignment horizontal="center" vertical="center" wrapText="1"/>
    </xf>
    <xf numFmtId="0" fontId="18" fillId="26" borderId="12" xfId="0" applyFont="1" applyFill="1" applyBorder="1" applyAlignment="1">
      <alignment horizontal="center" vertical="center"/>
    </xf>
    <xf numFmtId="0" fontId="18" fillId="26" borderId="12" xfId="0" applyFont="1" applyFill="1" applyBorder="1" applyAlignment="1">
      <alignment horizontal="left" vertical="center"/>
    </xf>
    <xf numFmtId="0" fontId="19" fillId="26" borderId="12" xfId="0" applyFont="1" applyFill="1" applyBorder="1" applyAlignment="1">
      <alignment horizontal="center" vertical="center"/>
    </xf>
    <xf numFmtId="0" fontId="18" fillId="27" borderId="12" xfId="0" applyFont="1" applyFill="1" applyBorder="1" applyAlignment="1">
      <alignment horizontal="center" vertical="center"/>
    </xf>
    <xf numFmtId="0" fontId="18" fillId="27" borderId="12" xfId="0" applyFont="1" applyFill="1" applyBorder="1" applyAlignment="1">
      <alignment horizontal="left" vertical="center"/>
    </xf>
    <xf numFmtId="0" fontId="19" fillId="27" borderId="12" xfId="0" applyFont="1" applyFill="1" applyBorder="1" applyAlignment="1">
      <alignment horizontal="center" vertical="center"/>
    </xf>
    <xf numFmtId="0" fontId="20" fillId="29" borderId="12" xfId="0" applyFont="1" applyFill="1" applyBorder="1" applyAlignment="1">
      <alignment horizontal="center" vertical="center"/>
    </xf>
    <xf numFmtId="0" fontId="20" fillId="29" borderId="12" xfId="0" applyFont="1" applyFill="1" applyBorder="1" applyAlignment="1">
      <alignment horizontal="left" vertical="center"/>
    </xf>
    <xf numFmtId="164" fontId="20" fillId="29" borderId="12" xfId="0" applyNumberFormat="1" applyFont="1" applyFill="1" applyBorder="1" applyAlignment="1">
      <alignment horizontal="center" vertical="center"/>
    </xf>
    <xf numFmtId="9" fontId="20" fillId="29" borderId="12" xfId="0" applyNumberFormat="1" applyFont="1" applyFill="1" applyBorder="1" applyAlignment="1">
      <alignment horizontal="center" vertical="center"/>
    </xf>
    <xf numFmtId="165" fontId="20" fillId="29" borderId="12" xfId="0" applyNumberFormat="1" applyFont="1" applyFill="1" applyBorder="1" applyAlignment="1">
      <alignment horizontal="center" vertical="center"/>
    </xf>
    <xf numFmtId="0" fontId="20" fillId="30" borderId="12" xfId="0" applyFont="1" applyFill="1" applyBorder="1" applyAlignment="1">
      <alignment horizontal="center" vertical="center"/>
    </xf>
    <xf numFmtId="0" fontId="20" fillId="30" borderId="12" xfId="0" applyFont="1" applyFill="1" applyBorder="1" applyAlignment="1">
      <alignment horizontal="left" vertical="center"/>
    </xf>
    <xf numFmtId="164" fontId="20" fillId="30" borderId="12" xfId="0" applyNumberFormat="1" applyFont="1" applyFill="1" applyBorder="1" applyAlignment="1">
      <alignment horizontal="center" vertical="center"/>
    </xf>
    <xf numFmtId="9" fontId="20" fillId="30" borderId="12" xfId="0" applyNumberFormat="1" applyFont="1" applyFill="1" applyBorder="1" applyAlignment="1">
      <alignment horizontal="center" vertical="center"/>
    </xf>
    <xf numFmtId="165" fontId="20" fillId="30" borderId="12" xfId="0" applyNumberFormat="1" applyFont="1" applyFill="1" applyBorder="1" applyAlignment="1">
      <alignment horizontal="center" vertical="center"/>
    </xf>
    <xf numFmtId="0" fontId="20" fillId="31" borderId="12" xfId="0" applyFont="1" applyFill="1" applyBorder="1" applyAlignment="1">
      <alignment horizontal="center" vertical="center"/>
    </xf>
    <xf numFmtId="0" fontId="20" fillId="31" borderId="12" xfId="0" applyFont="1" applyFill="1" applyBorder="1" applyAlignment="1">
      <alignment horizontal="left" vertical="center"/>
    </xf>
    <xf numFmtId="164" fontId="20" fillId="31" borderId="12" xfId="0" applyNumberFormat="1" applyFont="1" applyFill="1" applyBorder="1" applyAlignment="1">
      <alignment horizontal="center" vertical="center"/>
    </xf>
    <xf numFmtId="9" fontId="20" fillId="31" borderId="12" xfId="0" applyNumberFormat="1" applyFont="1" applyFill="1" applyBorder="1" applyAlignment="1">
      <alignment horizontal="center" vertical="center"/>
    </xf>
    <xf numFmtId="165" fontId="20" fillId="31" borderId="12" xfId="0" applyNumberFormat="1" applyFont="1" applyFill="1" applyBorder="1" applyAlignment="1">
      <alignment horizontal="center" vertical="center"/>
    </xf>
    <xf numFmtId="0" fontId="0" fillId="2" borderId="0" xfId="0" applyFill="1"/>
    <xf numFmtId="0" fontId="0" fillId="5" borderId="0" xfId="0" applyFill="1"/>
    <xf numFmtId="0" fontId="8" fillId="3" borderId="10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/>
    </xf>
    <xf numFmtId="0" fontId="14" fillId="7" borderId="14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0" fontId="0" fillId="4" borderId="15" xfId="0" applyFill="1" applyBorder="1"/>
    <xf numFmtId="0" fontId="0" fillId="4" borderId="12" xfId="0" applyFill="1" applyBorder="1"/>
    <xf numFmtId="0" fontId="15" fillId="32" borderId="2" xfId="0" applyFont="1" applyFill="1" applyBorder="1" applyAlignment="1">
      <alignment horizontal="center" vertical="center"/>
    </xf>
    <xf numFmtId="0" fontId="22" fillId="32" borderId="2" xfId="0" applyFont="1" applyFill="1" applyBorder="1" applyAlignment="1">
      <alignment horizontal="left" vertical="center" indent="1"/>
    </xf>
    <xf numFmtId="0" fontId="14" fillId="33" borderId="2" xfId="0" applyFont="1" applyFill="1" applyBorder="1" applyAlignment="1">
      <alignment horizontal="center" vertical="center"/>
    </xf>
    <xf numFmtId="9" fontId="15" fillId="32" borderId="2" xfId="0" applyNumberFormat="1" applyFont="1" applyFill="1" applyBorder="1" applyAlignment="1">
      <alignment horizontal="center" vertical="center"/>
    </xf>
    <xf numFmtId="0" fontId="23" fillId="33" borderId="16" xfId="0" applyFont="1" applyFill="1" applyBorder="1" applyAlignment="1">
      <alignment horizontal="center" vertical="center"/>
    </xf>
    <xf numFmtId="0" fontId="0" fillId="34" borderId="17" xfId="0" applyFill="1" applyBorder="1" applyAlignment="1">
      <alignment horizontal="center" vertical="center"/>
    </xf>
    <xf numFmtId="0" fontId="0" fillId="35" borderId="17" xfId="0" applyFill="1" applyBorder="1" applyAlignment="1">
      <alignment horizontal="center" vertical="center"/>
    </xf>
    <xf numFmtId="0" fontId="0" fillId="26" borderId="12" xfId="0" applyFill="1" applyBorder="1" applyAlignment="1">
      <alignment horizontal="center" vertical="center"/>
    </xf>
    <xf numFmtId="0" fontId="0" fillId="27" borderId="12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indent="1"/>
    </xf>
    <xf numFmtId="0" fontId="0" fillId="7" borderId="15" xfId="0" applyFill="1" applyBorder="1"/>
    <xf numFmtId="0" fontId="0" fillId="7" borderId="12" xfId="0" applyFill="1" applyBorder="1"/>
    <xf numFmtId="0" fontId="15" fillId="36" borderId="2" xfId="0" applyFont="1" applyFill="1" applyBorder="1" applyAlignment="1">
      <alignment horizontal="center" vertical="center"/>
    </xf>
    <xf numFmtId="0" fontId="22" fillId="36" borderId="2" xfId="0" applyFont="1" applyFill="1" applyBorder="1" applyAlignment="1">
      <alignment horizontal="left" vertical="center" indent="1"/>
    </xf>
    <xf numFmtId="9" fontId="15" fillId="36" borderId="2" xfId="0" applyNumberFormat="1" applyFont="1" applyFill="1" applyBorder="1" applyAlignment="1">
      <alignment horizontal="center" vertical="center"/>
    </xf>
    <xf numFmtId="0" fontId="24" fillId="33" borderId="16" xfId="0" applyFont="1" applyFill="1" applyBorder="1" applyAlignment="1">
      <alignment horizontal="center" vertical="center"/>
    </xf>
    <xf numFmtId="0" fontId="24" fillId="37" borderId="18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indent="1"/>
    </xf>
    <xf numFmtId="0" fontId="0" fillId="8" borderId="15" xfId="0" applyFill="1" applyBorder="1"/>
    <xf numFmtId="0" fontId="0" fillId="8" borderId="12" xfId="0" applyFill="1" applyBorder="1"/>
    <xf numFmtId="0" fontId="15" fillId="38" borderId="2" xfId="0" applyFont="1" applyFill="1" applyBorder="1" applyAlignment="1">
      <alignment horizontal="center" vertical="center"/>
    </xf>
    <xf numFmtId="0" fontId="22" fillId="38" borderId="2" xfId="0" applyFont="1" applyFill="1" applyBorder="1" applyAlignment="1">
      <alignment horizontal="left" vertical="center" indent="1"/>
    </xf>
    <xf numFmtId="0" fontId="14" fillId="37" borderId="2" xfId="0" applyFont="1" applyFill="1" applyBorder="1" applyAlignment="1">
      <alignment horizontal="center" vertical="center"/>
    </xf>
    <xf numFmtId="9" fontId="15" fillId="38" borderId="2" xfId="0" applyNumberFormat="1" applyFont="1" applyFill="1" applyBorder="1" applyAlignment="1">
      <alignment horizontal="center" vertical="center"/>
    </xf>
    <xf numFmtId="0" fontId="25" fillId="37" borderId="18" xfId="0" applyFont="1" applyFill="1" applyBorder="1" applyAlignment="1">
      <alignment horizontal="center" vertical="center"/>
    </xf>
    <xf numFmtId="0" fontId="26" fillId="39" borderId="2" xfId="0" applyFont="1" applyFill="1" applyBorder="1" applyAlignment="1">
      <alignment horizontal="center" vertical="center"/>
    </xf>
    <xf numFmtId="0" fontId="25" fillId="40" borderId="19" xfId="0" applyFont="1" applyFill="1" applyBorder="1" applyAlignment="1">
      <alignment horizontal="center" vertical="center"/>
    </xf>
    <xf numFmtId="0" fontId="15" fillId="41" borderId="2" xfId="0" applyFont="1" applyFill="1" applyBorder="1" applyAlignment="1">
      <alignment horizontal="center" vertical="center"/>
    </xf>
    <xf numFmtId="0" fontId="22" fillId="41" borderId="2" xfId="0" applyFont="1" applyFill="1" applyBorder="1" applyAlignment="1">
      <alignment horizontal="left" vertical="center" indent="1"/>
    </xf>
    <xf numFmtId="9" fontId="15" fillId="41" borderId="2" xfId="0" applyNumberFormat="1" applyFont="1" applyFill="1" applyBorder="1" applyAlignment="1">
      <alignment horizontal="center" vertical="center"/>
    </xf>
    <xf numFmtId="0" fontId="27" fillId="40" borderId="19" xfId="0" applyFont="1" applyFill="1" applyBorder="1" applyAlignment="1">
      <alignment horizontal="center" vertical="center"/>
    </xf>
    <xf numFmtId="0" fontId="22" fillId="42" borderId="0" xfId="0" applyFont="1" applyFill="1"/>
    <xf numFmtId="0" fontId="14" fillId="4" borderId="4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horizontal="center" vertical="center"/>
    </xf>
    <xf numFmtId="0" fontId="14" fillId="33" borderId="4" xfId="0" applyFont="1" applyFill="1" applyBorder="1" applyAlignment="1">
      <alignment horizontal="center" vertical="center"/>
    </xf>
    <xf numFmtId="0" fontId="14" fillId="37" borderId="4" xfId="0" applyFont="1" applyFill="1" applyBorder="1" applyAlignment="1">
      <alignment horizontal="center" vertical="center"/>
    </xf>
    <xf numFmtId="0" fontId="28" fillId="40" borderId="4" xfId="0" applyFont="1" applyFill="1" applyBorder="1" applyAlignment="1">
      <alignment horizontal="center" vertical="center"/>
    </xf>
    <xf numFmtId="0" fontId="20" fillId="26" borderId="12" xfId="0" applyFont="1" applyFill="1" applyBorder="1" applyAlignment="1">
      <alignment horizontal="center" vertical="center"/>
    </xf>
    <xf numFmtId="0" fontId="20" fillId="26" borderId="12" xfId="0" applyFont="1" applyFill="1" applyBorder="1" applyAlignment="1">
      <alignment horizontal="left" vertical="center"/>
    </xf>
    <xf numFmtId="0" fontId="20" fillId="26" borderId="12" xfId="0" applyFont="1" applyFill="1" applyBorder="1" applyAlignment="1">
      <alignment horizontal="left" vertical="center" wrapText="1"/>
    </xf>
    <xf numFmtId="165" fontId="20" fillId="26" borderId="12" xfId="0" applyNumberFormat="1" applyFont="1" applyFill="1" applyBorder="1" applyAlignment="1">
      <alignment horizontal="center" vertical="center"/>
    </xf>
    <xf numFmtId="9" fontId="20" fillId="26" borderId="12" xfId="0" applyNumberFormat="1" applyFont="1" applyFill="1" applyBorder="1" applyAlignment="1">
      <alignment horizontal="center" vertical="center"/>
    </xf>
    <xf numFmtId="0" fontId="20" fillId="27" borderId="12" xfId="0" applyFont="1" applyFill="1" applyBorder="1" applyAlignment="1">
      <alignment horizontal="center" vertical="center"/>
    </xf>
    <xf numFmtId="0" fontId="20" fillId="27" borderId="12" xfId="0" applyFont="1" applyFill="1" applyBorder="1" applyAlignment="1">
      <alignment horizontal="left" vertical="center"/>
    </xf>
    <xf numFmtId="0" fontId="20" fillId="27" borderId="12" xfId="0" applyFont="1" applyFill="1" applyBorder="1" applyAlignment="1">
      <alignment horizontal="left" vertical="center" wrapText="1"/>
    </xf>
    <xf numFmtId="165" fontId="20" fillId="27" borderId="12" xfId="0" applyNumberFormat="1" applyFont="1" applyFill="1" applyBorder="1" applyAlignment="1">
      <alignment horizontal="center" vertical="center"/>
    </xf>
    <xf numFmtId="9" fontId="20" fillId="27" borderId="12" xfId="0" applyNumberFormat="1" applyFont="1" applyFill="1" applyBorder="1" applyAlignment="1">
      <alignment horizontal="center" vertical="center"/>
    </xf>
    <xf numFmtId="0" fontId="29" fillId="44" borderId="12" xfId="0" applyFont="1" applyFill="1" applyBorder="1" applyAlignment="1">
      <alignment horizontal="center" vertical="center"/>
    </xf>
    <xf numFmtId="165" fontId="29" fillId="44" borderId="12" xfId="0" applyNumberFormat="1" applyFont="1" applyFill="1" applyBorder="1" applyAlignment="1">
      <alignment horizontal="center" vertical="center"/>
    </xf>
    <xf numFmtId="9" fontId="29" fillId="44" borderId="12" xfId="0" applyNumberFormat="1" applyFont="1" applyFill="1" applyBorder="1" applyAlignment="1">
      <alignment horizontal="center" vertical="center"/>
    </xf>
    <xf numFmtId="0" fontId="29" fillId="29" borderId="12" xfId="0" applyFont="1" applyFill="1" applyBorder="1" applyAlignment="1">
      <alignment horizontal="left" vertical="center"/>
    </xf>
    <xf numFmtId="0" fontId="20" fillId="45" borderId="12" xfId="0" applyFont="1" applyFill="1" applyBorder="1" applyAlignment="1">
      <alignment horizontal="center" vertical="center"/>
    </xf>
    <xf numFmtId="0" fontId="31" fillId="29" borderId="12" xfId="0" applyFont="1" applyFill="1" applyBorder="1" applyAlignment="1">
      <alignment horizontal="left" vertical="center" wrapText="1"/>
    </xf>
    <xf numFmtId="0" fontId="20" fillId="46" borderId="12" xfId="0" applyFont="1" applyFill="1" applyBorder="1" applyAlignment="1">
      <alignment horizontal="center" vertical="center"/>
    </xf>
    <xf numFmtId="0" fontId="29" fillId="30" borderId="12" xfId="0" applyFont="1" applyFill="1" applyBorder="1" applyAlignment="1">
      <alignment horizontal="left" vertical="center"/>
    </xf>
    <xf numFmtId="0" fontId="31" fillId="30" borderId="12" xfId="0" applyFont="1" applyFill="1" applyBorder="1" applyAlignment="1">
      <alignment horizontal="left" vertical="center" wrapText="1"/>
    </xf>
    <xf numFmtId="0" fontId="20" fillId="15" borderId="12" xfId="0" applyFont="1" applyFill="1" applyBorder="1" applyAlignment="1">
      <alignment horizontal="center" vertical="center"/>
    </xf>
    <xf numFmtId="0" fontId="29" fillId="31" borderId="12" xfId="0" applyFont="1" applyFill="1" applyBorder="1" applyAlignment="1">
      <alignment horizontal="left" vertical="center"/>
    </xf>
    <xf numFmtId="0" fontId="31" fillId="31" borderId="12" xfId="0" applyFont="1" applyFill="1" applyBorder="1" applyAlignment="1">
      <alignment horizontal="left" vertical="center" wrapText="1"/>
    </xf>
    <xf numFmtId="0" fontId="20" fillId="47" borderId="12" xfId="0" applyFont="1" applyFill="1" applyBorder="1" applyAlignment="1">
      <alignment horizontal="center" vertical="center"/>
    </xf>
    <xf numFmtId="0" fontId="29" fillId="48" borderId="12" xfId="0" applyFont="1" applyFill="1" applyBorder="1"/>
    <xf numFmtId="0" fontId="18" fillId="18" borderId="12" xfId="0" applyFont="1" applyFill="1" applyBorder="1"/>
    <xf numFmtId="0" fontId="33" fillId="18" borderId="12" xfId="0" applyFont="1" applyFill="1" applyBorder="1"/>
    <xf numFmtId="0" fontId="29" fillId="29" borderId="12" xfId="0" applyFont="1" applyFill="1" applyBorder="1"/>
    <xf numFmtId="0" fontId="20" fillId="49" borderId="12" xfId="0" applyFont="1" applyFill="1" applyBorder="1"/>
    <xf numFmtId="0" fontId="29" fillId="45" borderId="12" xfId="0" applyFont="1" applyFill="1" applyBorder="1" applyAlignment="1">
      <alignment horizontal="left" vertical="center"/>
    </xf>
    <xf numFmtId="0" fontId="35" fillId="45" borderId="12" xfId="0" applyFont="1" applyFill="1" applyBorder="1" applyAlignment="1">
      <alignment horizontal="left" vertical="center" wrapText="1"/>
    </xf>
    <xf numFmtId="0" fontId="20" fillId="45" borderId="12" xfId="0" applyFont="1" applyFill="1" applyBorder="1" applyAlignment="1">
      <alignment horizontal="left" vertical="center" wrapText="1"/>
    </xf>
    <xf numFmtId="0" fontId="29" fillId="46" borderId="12" xfId="0" applyFont="1" applyFill="1" applyBorder="1" applyAlignment="1">
      <alignment horizontal="left" vertical="center"/>
    </xf>
    <xf numFmtId="0" fontId="35" fillId="46" borderId="12" xfId="0" applyFont="1" applyFill="1" applyBorder="1" applyAlignment="1">
      <alignment horizontal="left" vertical="center" wrapText="1"/>
    </xf>
    <xf numFmtId="0" fontId="20" fillId="46" borderId="12" xfId="0" applyFont="1" applyFill="1" applyBorder="1" applyAlignment="1">
      <alignment horizontal="left" vertical="center" wrapText="1"/>
    </xf>
    <xf numFmtId="0" fontId="29" fillId="15" borderId="12" xfId="0" applyFont="1" applyFill="1" applyBorder="1" applyAlignment="1">
      <alignment horizontal="left" vertical="center"/>
    </xf>
    <xf numFmtId="0" fontId="35" fillId="15" borderId="12" xfId="0" applyFont="1" applyFill="1" applyBorder="1" applyAlignment="1">
      <alignment horizontal="left" vertical="center" wrapText="1"/>
    </xf>
    <xf numFmtId="0" fontId="20" fillId="15" borderId="12" xfId="0" applyFont="1" applyFill="1" applyBorder="1" applyAlignment="1">
      <alignment horizontal="left" vertical="center" wrapText="1"/>
    </xf>
    <xf numFmtId="0" fontId="29" fillId="47" borderId="12" xfId="0" applyFont="1" applyFill="1" applyBorder="1" applyAlignment="1">
      <alignment horizontal="left" vertical="center"/>
    </xf>
    <xf numFmtId="0" fontId="35" fillId="47" borderId="12" xfId="0" applyFont="1" applyFill="1" applyBorder="1" applyAlignment="1">
      <alignment horizontal="left" vertical="center" wrapText="1"/>
    </xf>
    <xf numFmtId="0" fontId="20" fillId="47" borderId="12" xfId="0" applyFont="1" applyFill="1" applyBorder="1" applyAlignment="1">
      <alignment horizontal="left" vertical="center" wrapText="1"/>
    </xf>
    <xf numFmtId="0" fontId="36" fillId="29" borderId="12" xfId="0" applyFont="1" applyFill="1" applyBorder="1" applyAlignment="1">
      <alignment horizontal="center" vertical="center"/>
    </xf>
    <xf numFmtId="0" fontId="37" fillId="29" borderId="12" xfId="0" applyFont="1" applyFill="1" applyBorder="1" applyAlignment="1">
      <alignment horizontal="left" vertical="center" wrapText="1"/>
    </xf>
    <xf numFmtId="0" fontId="36" fillId="29" borderId="12" xfId="0" applyFont="1" applyFill="1" applyBorder="1" applyAlignment="1">
      <alignment horizontal="left" vertical="center" wrapText="1"/>
    </xf>
    <xf numFmtId="0" fontId="38" fillId="30" borderId="12" xfId="0" applyFont="1" applyFill="1" applyBorder="1" applyAlignment="1">
      <alignment horizontal="center" vertical="center"/>
    </xf>
    <xf numFmtId="0" fontId="39" fillId="30" borderId="12" xfId="0" applyFont="1" applyFill="1" applyBorder="1" applyAlignment="1">
      <alignment horizontal="left" vertical="center" wrapText="1"/>
    </xf>
    <xf numFmtId="0" fontId="38" fillId="30" borderId="12" xfId="0" applyFont="1" applyFill="1" applyBorder="1" applyAlignment="1">
      <alignment horizontal="left" vertical="center" wrapText="1"/>
    </xf>
    <xf numFmtId="0" fontId="18" fillId="31" borderId="12" xfId="0" applyFont="1" applyFill="1" applyBorder="1" applyAlignment="1">
      <alignment horizontal="center" vertical="center"/>
    </xf>
    <xf numFmtId="0" fontId="40" fillId="31" borderId="12" xfId="0" applyFont="1" applyFill="1" applyBorder="1" applyAlignment="1">
      <alignment horizontal="left" vertical="center" wrapText="1"/>
    </xf>
    <xf numFmtId="0" fontId="18" fillId="31" borderId="12" xfId="0" applyFont="1" applyFill="1" applyBorder="1" applyAlignment="1">
      <alignment horizontal="left" vertical="center" wrapText="1"/>
    </xf>
    <xf numFmtId="0" fontId="33" fillId="31" borderId="12" xfId="0" applyFont="1" applyFill="1" applyBorder="1" applyAlignment="1">
      <alignment horizontal="center" vertical="center"/>
    </xf>
    <xf numFmtId="0" fontId="29" fillId="44" borderId="12" xfId="0" applyFont="1" applyFill="1" applyBorder="1"/>
    <xf numFmtId="0" fontId="0" fillId="0" borderId="12" xfId="0" applyBorder="1"/>
    <xf numFmtId="0" fontId="42" fillId="4" borderId="11" xfId="0" applyFont="1" applyFill="1" applyBorder="1" applyAlignment="1">
      <alignment horizontal="center" vertical="center"/>
    </xf>
    <xf numFmtId="0" fontId="42" fillId="0" borderId="0" xfId="0" applyFont="1" applyAlignment="1">
      <alignment horizontal="right" vertical="center"/>
    </xf>
    <xf numFmtId="0" fontId="42" fillId="5" borderId="0" xfId="0" applyFont="1" applyFill="1" applyAlignment="1">
      <alignment horizontal="right" vertical="center"/>
    </xf>
    <xf numFmtId="164" fontId="15" fillId="32" borderId="2" xfId="0" applyNumberFormat="1" applyFont="1" applyFill="1" applyBorder="1" applyAlignment="1">
      <alignment horizontal="center" vertical="center"/>
    </xf>
    <xf numFmtId="164" fontId="15" fillId="36" borderId="2" xfId="0" applyNumberFormat="1" applyFont="1" applyFill="1" applyBorder="1" applyAlignment="1">
      <alignment horizontal="center" vertical="center"/>
    </xf>
    <xf numFmtId="164" fontId="15" fillId="38" borderId="2" xfId="0" applyNumberFormat="1" applyFont="1" applyFill="1" applyBorder="1" applyAlignment="1">
      <alignment horizontal="center" vertical="center"/>
    </xf>
    <xf numFmtId="164" fontId="15" fillId="41" borderId="2" xfId="0" applyNumberFormat="1" applyFont="1" applyFill="1" applyBorder="1" applyAlignment="1">
      <alignment horizontal="center" vertical="center"/>
    </xf>
    <xf numFmtId="164" fontId="36" fillId="29" borderId="12" xfId="0" applyNumberFormat="1" applyFont="1" applyFill="1" applyBorder="1" applyAlignment="1">
      <alignment horizontal="center" vertical="center"/>
    </xf>
    <xf numFmtId="164" fontId="38" fillId="30" borderId="12" xfId="0" applyNumberFormat="1" applyFont="1" applyFill="1" applyBorder="1" applyAlignment="1">
      <alignment horizontal="center" vertical="center"/>
    </xf>
    <xf numFmtId="164" fontId="18" fillId="31" borderId="12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51" borderId="0" xfId="0" applyFont="1" applyFill="1"/>
    <xf numFmtId="0" fontId="44" fillId="52" borderId="0" xfId="0" applyFont="1" applyFill="1"/>
    <xf numFmtId="0" fontId="5" fillId="6" borderId="3" xfId="0" applyFont="1" applyFill="1" applyBorder="1" applyAlignment="1">
      <alignment horizontal="left" vertical="center" indent="1"/>
    </xf>
    <xf numFmtId="0" fontId="0" fillId="0" borderId="20" xfId="0" applyBorder="1"/>
    <xf numFmtId="0" fontId="15" fillId="14" borderId="11" xfId="0" applyFont="1" applyFill="1" applyBorder="1" applyAlignment="1">
      <alignment horizontal="left" vertical="center" indent="1"/>
    </xf>
    <xf numFmtId="0" fontId="0" fillId="0" borderId="27" xfId="0" applyBorder="1"/>
    <xf numFmtId="0" fontId="0" fillId="0" borderId="28" xfId="0" applyBorder="1"/>
    <xf numFmtId="0" fontId="3" fillId="4" borderId="1" xfId="0" applyFont="1" applyFill="1" applyBorder="1" applyAlignment="1">
      <alignment horizontal="left" vertical="center"/>
    </xf>
    <xf numFmtId="0" fontId="0" fillId="0" borderId="15" xfId="0" applyBorder="1"/>
    <xf numFmtId="0" fontId="8" fillId="8" borderId="4" xfId="0" applyFont="1" applyFill="1" applyBorder="1" applyAlignment="1">
      <alignment horizontal="center" vertical="center"/>
    </xf>
    <xf numFmtId="0" fontId="0" fillId="0" borderId="21" xfId="0" applyBorder="1"/>
    <xf numFmtId="0" fontId="10" fillId="12" borderId="6" xfId="0" applyFont="1" applyFill="1" applyBorder="1" applyAlignment="1">
      <alignment horizontal="center" vertical="center"/>
    </xf>
    <xf numFmtId="0" fontId="0" fillId="0" borderId="23" xfId="0" applyBorder="1"/>
    <xf numFmtId="0" fontId="8" fillId="9" borderId="4" xfId="0" applyFont="1" applyFill="1" applyBorder="1" applyAlignment="1">
      <alignment horizontal="center" vertical="center"/>
    </xf>
    <xf numFmtId="0" fontId="15" fillId="16" borderId="11" xfId="0" applyFont="1" applyFill="1" applyBorder="1" applyAlignment="1">
      <alignment horizontal="left" vertical="center" indent="1"/>
    </xf>
    <xf numFmtId="0" fontId="15" fillId="20" borderId="1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/>
    </xf>
    <xf numFmtId="0" fontId="15" fillId="15" borderId="11" xfId="0" applyFont="1" applyFill="1" applyBorder="1" applyAlignment="1">
      <alignment horizontal="left" vertical="center" indent="1"/>
    </xf>
    <xf numFmtId="0" fontId="9" fillId="11" borderId="5" xfId="0" applyFont="1" applyFill="1" applyBorder="1" applyAlignment="1">
      <alignment horizontal="center" vertical="center"/>
    </xf>
    <xf numFmtId="0" fontId="0" fillId="0" borderId="22" xfId="0" applyBorder="1"/>
    <xf numFmtId="0" fontId="12" fillId="12" borderId="8" xfId="0" applyFont="1" applyFill="1" applyBorder="1" applyAlignment="1">
      <alignment horizontal="center" vertical="center"/>
    </xf>
    <xf numFmtId="0" fontId="0" fillId="0" borderId="25" xfId="0" applyBorder="1"/>
    <xf numFmtId="0" fontId="15" fillId="13" borderId="11" xfId="0" applyFont="1" applyFill="1" applyBorder="1" applyAlignment="1">
      <alignment horizontal="left" vertical="center" indent="1"/>
    </xf>
    <xf numFmtId="0" fontId="13" fillId="11" borderId="9" xfId="0" applyFont="1" applyFill="1" applyBorder="1" applyAlignment="1">
      <alignment horizontal="center" vertical="center"/>
    </xf>
    <xf numFmtId="0" fontId="0" fillId="0" borderId="26" xfId="0" applyBorder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7" fillId="6" borderId="3" xfId="0" applyFont="1" applyFill="1" applyBorder="1" applyAlignment="1">
      <alignment horizontal="left" vertical="center" indent="1"/>
    </xf>
    <xf numFmtId="0" fontId="15" fillId="18" borderId="11" xfId="0" applyFont="1" applyFill="1" applyBorder="1" applyAlignment="1">
      <alignment horizontal="left" vertical="center" indent="1"/>
    </xf>
    <xf numFmtId="0" fontId="8" fillId="4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0" fillId="4" borderId="0" xfId="0" applyFill="1"/>
    <xf numFmtId="0" fontId="6" fillId="6" borderId="3" xfId="0" applyFont="1" applyFill="1" applyBorder="1" applyAlignment="1">
      <alignment horizontal="left" vertical="center" indent="1"/>
    </xf>
    <xf numFmtId="0" fontId="11" fillId="11" borderId="7" xfId="0" applyFont="1" applyFill="1" applyBorder="1" applyAlignment="1">
      <alignment horizontal="center" vertical="center"/>
    </xf>
    <xf numFmtId="0" fontId="0" fillId="0" borderId="24" xfId="0" applyBorder="1"/>
    <xf numFmtId="0" fontId="2" fillId="3" borderId="0" xfId="0" applyFont="1" applyFill="1" applyAlignment="1">
      <alignment horizontal="left" vertical="center"/>
    </xf>
    <xf numFmtId="0" fontId="16" fillId="24" borderId="0" xfId="0" applyFont="1" applyFill="1" applyAlignment="1">
      <alignment horizontal="center" vertical="center"/>
    </xf>
    <xf numFmtId="0" fontId="16" fillId="28" borderId="0" xfId="0" applyFont="1" applyFill="1" applyAlignment="1">
      <alignment horizontal="center" vertical="center"/>
    </xf>
    <xf numFmtId="0" fontId="8" fillId="7" borderId="13" xfId="0" applyFont="1" applyFill="1" applyBorder="1" applyAlignment="1">
      <alignment horizontal="center" vertical="center"/>
    </xf>
    <xf numFmtId="0" fontId="0" fillId="0" borderId="29" xfId="0" applyBorder="1"/>
    <xf numFmtId="0" fontId="8" fillId="8" borderId="13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15" fillId="38" borderId="2" xfId="0" applyFont="1" applyFill="1" applyBorder="1" applyAlignment="1">
      <alignment horizontal="center" vertical="center"/>
    </xf>
    <xf numFmtId="0" fontId="0" fillId="0" borderId="30" xfId="0" applyBorder="1"/>
    <xf numFmtId="0" fontId="15" fillId="32" borderId="2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left" vertical="center"/>
    </xf>
    <xf numFmtId="0" fontId="0" fillId="3" borderId="0" xfId="0" applyFill="1"/>
    <xf numFmtId="0" fontId="15" fillId="36" borderId="2" xfId="0" applyFont="1" applyFill="1" applyBorder="1" applyAlignment="1">
      <alignment horizontal="center" vertical="center"/>
    </xf>
    <xf numFmtId="0" fontId="29" fillId="44" borderId="1" xfId="0" applyFont="1" applyFill="1" applyBorder="1"/>
    <xf numFmtId="0" fontId="16" fillId="43" borderId="0" xfId="0" applyFont="1" applyFill="1" applyAlignment="1">
      <alignment horizontal="center" vertical="center"/>
    </xf>
    <xf numFmtId="0" fontId="30" fillId="25" borderId="1" xfId="0" applyFont="1" applyFill="1" applyBorder="1" applyAlignment="1">
      <alignment horizontal="center" vertical="center"/>
    </xf>
    <xf numFmtId="0" fontId="30" fillId="25" borderId="1" xfId="0" applyFont="1" applyFill="1" applyBorder="1" applyAlignment="1">
      <alignment horizontal="left" vertical="center"/>
    </xf>
    <xf numFmtId="0" fontId="34" fillId="46" borderId="1" xfId="0" applyFont="1" applyFill="1" applyBorder="1"/>
    <xf numFmtId="0" fontId="32" fillId="47" borderId="1" xfId="0" applyFont="1" applyFill="1" applyBorder="1"/>
    <xf numFmtId="0" fontId="41" fillId="50" borderId="1" xfId="0" applyFont="1" applyFill="1" applyBorder="1" applyAlignment="1">
      <alignment horizontal="left" vertical="center" wrapText="1"/>
    </xf>
    <xf numFmtId="0" fontId="45" fillId="13" borderId="11" xfId="1" applyFill="1" applyBorder="1" applyAlignment="1">
      <alignment horizontal="left" vertical="center" indent="1"/>
    </xf>
    <xf numFmtId="0" fontId="45" fillId="14" borderId="11" xfId="1" applyFill="1" applyBorder="1" applyAlignment="1">
      <alignment horizontal="left" vertical="center" indent="1"/>
    </xf>
    <xf numFmtId="0" fontId="45" fillId="15" borderId="11" xfId="1" applyFill="1" applyBorder="1" applyAlignment="1">
      <alignment horizontal="left" vertical="center" indent="1"/>
    </xf>
    <xf numFmtId="0" fontId="45" fillId="16" borderId="11" xfId="1" applyFill="1" applyBorder="1" applyAlignment="1">
      <alignment horizontal="left" vertical="center" indent="1"/>
    </xf>
    <xf numFmtId="0" fontId="45" fillId="18" borderId="11" xfId="1" applyFill="1" applyBorder="1" applyAlignment="1">
      <alignment horizontal="left" vertical="center" indent="1"/>
    </xf>
    <xf numFmtId="0" fontId="45" fillId="20" borderId="11" xfId="1" applyFill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80000"/>
      <rgbColor rgb="FFEAFAF1"/>
      <rgbColor rgb="FFF8F9FA"/>
      <rgbColor rgb="FFFDEDEC"/>
      <rgbColor rgb="FFEEEEEE"/>
      <rgbColor rgb="FFD6E8F7"/>
      <rgbColor rgb="FFF5F5F5"/>
      <rgbColor rgb="FF1A6B1A"/>
      <rgbColor rgb="FFF9FAFB"/>
      <rgbColor rgb="FFDDDDDD"/>
      <rgbColor rgb="FF6A0DAD"/>
      <rgbColor rgb="FF4972B5"/>
      <rgbColor rgb="FFBDC3C7"/>
      <rgbColor rgb="FF819374"/>
      <rgbColor rgb="FFAAB7B8"/>
      <rgbColor rgb="FFC2381E"/>
      <rgbColor rgb="FFFEF9E7"/>
      <rgbColor rgb="FFD5F0DE"/>
      <rgbColor rgb="FFF0F4FF"/>
      <rgbColor rgb="FFF1948A"/>
      <rgbColor rgb="FF0563C1"/>
      <rgbColor rgb="FFD6DBDF"/>
      <rgbColor rgb="FFFDFEFE"/>
      <rgbColor rgb="FFEEF2F7"/>
      <rgbColor rgb="FFE0E0E0"/>
      <rgbColor rgb="FFE8F4FD"/>
      <rgbColor rgb="FFEBF5FB"/>
      <rgbColor rgb="FFFEF5FB"/>
      <rgbColor rgb="FFE8ECF5"/>
      <rgbColor rgb="FFF9F9F9"/>
      <rgbColor rgb="FFD5E4F5"/>
      <rgbColor rgb="FFE8F8EE"/>
      <rgbColor rgb="FFD5F5E3"/>
      <rgbColor rgb="FFFDE8D1"/>
      <rgbColor rgb="FFA9DFBF"/>
      <rgbColor rgb="FFFAD7D5"/>
      <rgbColor rgb="FFBBBBBB"/>
      <rgbColor rgb="FFFAD7A0"/>
      <rgbColor rgb="FF1F70BF"/>
      <rgbColor rgb="FF2ECC71"/>
      <rgbColor rgb="FFCCCCCC"/>
      <rgbColor rgb="FFFADBD8"/>
      <rgbColor rgb="FFF39C12"/>
      <rgbColor rgb="FFD7710A"/>
      <rgbColor rgb="FF6A597C"/>
      <rgbColor rgb="FFAAAAAA"/>
      <rgbColor rgb="FF10174E"/>
      <rgbColor rgb="FF1A9C3E"/>
      <rgbColor rgb="FFF4F9F4"/>
      <rgbColor rgb="FF1A252F"/>
      <rgbColor rgb="FF8F3809"/>
      <rgbColor rgb="FFEAECEE"/>
      <rgbColor rgb="FF273F6C"/>
      <rgbColor rgb="FF2D3A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Task Completion Overview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7993827160493836E-3"/>
          <c:y val="1.0700909577314071E-2"/>
          <c:w val="0.60591049382716045"/>
          <c:h val="0.9529159978598180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'Task Tracker'!$J$3</c:f>
              <c:strCache>
                <c:ptCount val="1"/>
                <c:pt idx="0">
                  <c:v>% Complete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dLbl>
              <c:idx val="0"/>
              <c:layout>
                <c:manualLayout>
                  <c:x val="0.39785493827160495"/>
                  <c:y val="0.49352662377876921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26-45FD-85A7-0932B763371A}"/>
                </c:ext>
              </c:extLst>
            </c:dLbl>
            <c:dLbl>
              <c:idx val="1"/>
              <c:layout>
                <c:manualLayout>
                  <c:x val="0.36453703703703705"/>
                  <c:y val="0.4044943820224719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126-45FD-85A7-0932B763371A}"/>
                </c:ext>
              </c:extLst>
            </c:dLbl>
            <c:dLbl>
              <c:idx val="2"/>
              <c:layout>
                <c:manualLayout>
                  <c:x val="0.33513888888888882"/>
                  <c:y val="0.1519529159978598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126-45FD-85A7-0932B763371A}"/>
                </c:ext>
              </c:extLst>
            </c:dLbl>
            <c:dLbl>
              <c:idx val="3"/>
              <c:layout>
                <c:manualLayout>
                  <c:x val="0.48800933641975303"/>
                  <c:y val="0.7843766720171214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0449243827160493"/>
                      <c:h val="9.548430041750399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126-45FD-85A7-0932B763371A}"/>
                </c:ext>
              </c:extLst>
            </c:dLbl>
            <c:dLbl>
              <c:idx val="4"/>
              <c:layout>
                <c:manualLayout>
                  <c:x val="0.21950617283950619"/>
                  <c:y val="6.5493611051427564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126-45FD-85A7-0932B763371A}"/>
                </c:ext>
              </c:extLst>
            </c:dLbl>
            <c:dLbl>
              <c:idx val="5"/>
              <c:layout>
                <c:manualLayout>
                  <c:x val="0.13034699074074074"/>
                  <c:y val="-4.708400214018191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9967114197530861"/>
                      <c:h val="8.478339084018991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3126-45FD-85A7-0932B763371A}"/>
                </c:ext>
              </c:extLst>
            </c:dLbl>
            <c:dLbl>
              <c:idx val="6"/>
              <c:layout>
                <c:manualLayout>
                  <c:x val="8.4274691358024692E-2"/>
                  <c:y val="-0.15837346174424835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126-45FD-85A7-0932B763371A}"/>
                </c:ext>
              </c:extLst>
            </c:dLbl>
            <c:dLbl>
              <c:idx val="7"/>
              <c:layout>
                <c:manualLayout>
                  <c:x val="4.8996913580246916E-2"/>
                  <c:y val="-0.11342964151952915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126-45FD-85A7-0932B763371A}"/>
                </c:ext>
              </c:extLst>
            </c:dLbl>
            <c:dLbl>
              <c:idx val="8"/>
              <c:layout>
                <c:manualLayout>
                  <c:x val="-3.3317824074074076E-2"/>
                  <c:y val="-0.1990369181380416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8023904320987655"/>
                      <c:h val="9.806313536650615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3126-45FD-85A7-0932B763371A}"/>
                </c:ext>
              </c:extLst>
            </c:dLbl>
            <c:dLbl>
              <c:idx val="9"/>
              <c:layout>
                <c:manualLayout>
                  <c:x val="-8.0354938271605017E-2"/>
                  <c:y val="-1.4981273408239701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126-45FD-85A7-0932B763371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'Task Tracker'!$B$4:$B$13</c:f>
              <c:strCache>
                <c:ptCount val="10"/>
                <c:pt idx="0">
                  <c:v>Remove Duplicates — CRM Export Cleaning</c:v>
                </c:pt>
                <c:pt idx="1">
                  <c:v>Trim Extra Spaces — Customer Name Import</c:v>
                </c:pt>
                <c:pt idx="2">
                  <c:v>Standardize Text Case — Region Codes</c:v>
                </c:pt>
                <c:pt idx="3">
                  <c:v>Fix Date Formats — Legacy System Dates</c:v>
                </c:pt>
                <c:pt idx="4">
                  <c:v>Handle Missing Values — Customer Database</c:v>
                </c:pt>
                <c:pt idx="5">
                  <c:v>Split Combined Columns — Contact Database</c:v>
                </c:pt>
                <c:pt idx="6">
                  <c:v>Remove Non-Numeric Chars — Revenue Data</c:v>
                </c:pt>
                <c:pt idx="7">
                  <c:v>Validate Data Ranges — HR Age Dataset</c:v>
                </c:pt>
                <c:pt idx="8">
                  <c:v>Standardize Category Labels — Product SKU</c:v>
                </c:pt>
                <c:pt idx="9">
                  <c:v>Combine &amp; Reconcile Columns — Address</c:v>
                </c:pt>
              </c:strCache>
            </c:strRef>
          </c:cat>
          <c:val>
            <c:numRef>
              <c:f>'Task Tracker'!$J$4:$J$13</c:f>
              <c:numCache>
                <c:formatCode>0%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0.65</c:v>
                </c:pt>
                <c:pt idx="6">
                  <c:v>0.4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26-45FD-85A7-0932B763371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Team Utilisation % by Resource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'Resource Planner'!$H$14</c:f>
              <c:strCache>
                <c:ptCount val="1"/>
                <c:pt idx="0">
                  <c:v>Util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'Resource Planner'!$A$15:$A$21</c:f>
              <c:strCache>
                <c:ptCount val="7"/>
                <c:pt idx="0">
                  <c:v>Priya Sharma</c:v>
                </c:pt>
                <c:pt idx="1">
                  <c:v>Rahul Mehta</c:v>
                </c:pt>
                <c:pt idx="2">
                  <c:v>Amit Roy</c:v>
                </c:pt>
                <c:pt idx="3">
                  <c:v>Sunita Verma</c:v>
                </c:pt>
                <c:pt idx="4">
                  <c:v>Karan Malhotra</c:v>
                </c:pt>
                <c:pt idx="5">
                  <c:v>Deepa Krishnan</c:v>
                </c:pt>
                <c:pt idx="6">
                  <c:v>Neha Joshi</c:v>
                </c:pt>
              </c:strCache>
            </c:strRef>
          </c:cat>
          <c:val>
            <c:numRef>
              <c:f>'Resource Planner'!$H$15:$H$21</c:f>
              <c:numCache>
                <c:formatCode>0%</c:formatCode>
                <c:ptCount val="7"/>
                <c:pt idx="0">
                  <c:v>0.85</c:v>
                </c:pt>
                <c:pt idx="1">
                  <c:v>0.78</c:v>
                </c:pt>
                <c:pt idx="2">
                  <c:v>0.9</c:v>
                </c:pt>
                <c:pt idx="3">
                  <c:v>0.65</c:v>
                </c:pt>
                <c:pt idx="4">
                  <c:v>0.55000000000000004</c:v>
                </c:pt>
                <c:pt idx="5">
                  <c:v>0.7</c:v>
                </c:pt>
                <c:pt idx="6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4E-4AFB-BEA6-83ADED409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643660"/>
        <c:axId val="86433612"/>
      </c:barChart>
      <c:catAx>
        <c:axId val="906436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Team Member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433612"/>
        <c:crosses val="autoZero"/>
        <c:auto val="1"/>
        <c:lblAlgn val="ctr"/>
        <c:lblOffset val="100"/>
        <c:noMultiLvlLbl val="0"/>
      </c:catAx>
      <c:valAx>
        <c:axId val="864336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Utilisation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643660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Checklist Status Breakdown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'Dashboard Checklist'!$B$17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dPt>
            <c:idx val="0"/>
            <c:bubble3D val="0"/>
            <c:spPr>
              <a:solidFill>
                <a:srgbClr val="A9DFBF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1-25A9-44EA-B8D7-B1AAE38E5984}"/>
              </c:ext>
            </c:extLst>
          </c:dPt>
          <c:dPt>
            <c:idx val="1"/>
            <c:bubble3D val="0"/>
            <c:spPr>
              <a:solidFill>
                <a:srgbClr val="FAD7A0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25A9-44EA-B8D7-B1AAE38E5984}"/>
              </c:ext>
            </c:extLst>
          </c:dPt>
          <c:dPt>
            <c:idx val="2"/>
            <c:bubble3D val="0"/>
            <c:spPr>
              <a:solidFill>
                <a:srgbClr val="D6DBDF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25A9-44EA-B8D7-B1AAE38E598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25A9-44EA-B8D7-B1AAE38E598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25A9-44EA-B8D7-B1AAE38E598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25A9-44EA-B8D7-B1AAE38E59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'Dashboard Checklist'!$A$18:$A$20</c:f>
              <c:strCache>
                <c:ptCount val="3"/>
                <c:pt idx="0">
                  <c:v>Completed</c:v>
                </c:pt>
                <c:pt idx="1">
                  <c:v>In Progress</c:v>
                </c:pt>
                <c:pt idx="2">
                  <c:v>Not Started</c:v>
                </c:pt>
              </c:strCache>
            </c:strRef>
          </c:cat>
          <c:val>
            <c:numRef>
              <c:f>'Dashboard Checklist'!$B$18:$B$20</c:f>
              <c:numCache>
                <c:formatCode>General</c:formatCode>
                <c:ptCount val="3"/>
                <c:pt idx="0">
                  <c:v>5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A9-44EA-B8D7-B1AAE38E5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1211862</xdr:colOff>
      <xdr:row>44</xdr:row>
      <xdr:rowOff>44162</xdr:rowOff>
    </xdr:from>
    <xdr:ext cx="6480000" cy="59340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21</xdr:row>
      <xdr:rowOff>180975</xdr:rowOff>
    </xdr:from>
    <xdr:to>
      <xdr:col>4</xdr:col>
      <xdr:colOff>2263440</xdr:colOff>
      <xdr:row>44</xdr:row>
      <xdr:rowOff>118995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15</xdr:row>
      <xdr:rowOff>66675</xdr:rowOff>
    </xdr:from>
    <xdr:to>
      <xdr:col>4</xdr:col>
      <xdr:colOff>897840</xdr:colOff>
      <xdr:row>34</xdr:row>
      <xdr:rowOff>46455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topLeftCell="B1" zoomScale="69" zoomScaleNormal="69" workbookViewId="0">
      <pane ySplit="2" topLeftCell="A3" activePane="bottomLeft" state="frozen"/>
      <selection pane="bottomLeft" activeCell="J55" sqref="J55"/>
    </sheetView>
  </sheetViews>
  <sheetFormatPr defaultColWidth="8.7109375" defaultRowHeight="15" x14ac:dyDescent="0.25"/>
  <cols>
    <col min="1" max="3" width="45" customWidth="1"/>
    <col min="4" max="4" width="3" customWidth="1"/>
    <col min="5" max="5" width="16" customWidth="1"/>
    <col min="6" max="6" width="45" customWidth="1"/>
    <col min="7" max="7" width="16" customWidth="1"/>
    <col min="8" max="8" width="3" customWidth="1"/>
    <col min="9" max="9" width="21" customWidth="1"/>
    <col min="10" max="10" width="10" customWidth="1"/>
    <col min="11" max="11" width="11" customWidth="1"/>
    <col min="12" max="12" width="14" customWidth="1"/>
    <col min="13" max="13" width="3" customWidth="1"/>
    <col min="14" max="14" width="33" customWidth="1"/>
    <col min="15" max="16" width="3" customWidth="1"/>
  </cols>
  <sheetData>
    <row r="1" spans="1:16" ht="36" customHeight="1" x14ac:dyDescent="0.25">
      <c r="A1" s="174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</row>
    <row r="2" spans="1:16" ht="18" customHeight="1" x14ac:dyDescent="0.25">
      <c r="A2" s="185" t="s">
        <v>1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</row>
    <row r="3" spans="1:16" ht="7.5" customHeight="1" x14ac:dyDescent="0.25"/>
    <row r="4" spans="1:16" ht="21.75" customHeight="1" x14ac:dyDescent="0.25">
      <c r="A4" s="156" t="s">
        <v>2</v>
      </c>
      <c r="B4" s="157"/>
      <c r="C4" s="181"/>
      <c r="D4" s="175"/>
      <c r="E4" s="175"/>
      <c r="F4" s="175"/>
      <c r="G4" s="175"/>
      <c r="H4" s="175"/>
      <c r="I4" s="1"/>
      <c r="J4" s="1"/>
      <c r="K4" s="1"/>
      <c r="L4" s="1"/>
      <c r="M4" s="1"/>
      <c r="N4" s="1"/>
      <c r="O4" s="1"/>
    </row>
    <row r="5" spans="1:16" ht="18" customHeight="1" x14ac:dyDescent="0.25">
      <c r="A5" s="2" t="s">
        <v>3</v>
      </c>
      <c r="B5" s="151" t="s">
        <v>4</v>
      </c>
      <c r="C5" s="152"/>
      <c r="D5" s="152"/>
      <c r="E5" s="152"/>
      <c r="F5" s="152"/>
      <c r="G5" s="152"/>
      <c r="H5" s="152"/>
    </row>
    <row r="6" spans="1:16" ht="18" customHeight="1" x14ac:dyDescent="0.25">
      <c r="A6" s="2" t="s">
        <v>5</v>
      </c>
      <c r="B6" s="151" t="s">
        <v>6</v>
      </c>
      <c r="C6" s="152"/>
      <c r="D6" s="152"/>
      <c r="E6" s="152"/>
      <c r="F6" s="152"/>
      <c r="G6" s="152"/>
      <c r="H6" s="152"/>
    </row>
    <row r="7" spans="1:16" ht="18" customHeight="1" x14ac:dyDescent="0.25">
      <c r="A7" s="2" t="s">
        <v>7</v>
      </c>
      <c r="B7" s="151" t="s">
        <v>8</v>
      </c>
      <c r="C7" s="152"/>
      <c r="D7" s="152"/>
      <c r="E7" s="152"/>
      <c r="F7" s="152"/>
      <c r="G7" s="152"/>
      <c r="H7" s="152"/>
    </row>
    <row r="8" spans="1:16" ht="18" customHeight="1" x14ac:dyDescent="0.25">
      <c r="A8" s="2" t="s">
        <v>9</v>
      </c>
      <c r="B8" s="151" t="s">
        <v>10</v>
      </c>
      <c r="C8" s="152"/>
      <c r="D8" s="152"/>
      <c r="E8" s="152"/>
      <c r="F8" s="152"/>
      <c r="G8" s="152"/>
      <c r="H8" s="152"/>
    </row>
    <row r="9" spans="1:16" ht="18" customHeight="1" x14ac:dyDescent="0.25">
      <c r="A9" s="2" t="s">
        <v>11</v>
      </c>
      <c r="B9" s="151" t="s">
        <v>12</v>
      </c>
      <c r="C9" s="152"/>
      <c r="D9" s="152"/>
      <c r="E9" s="152"/>
      <c r="F9" s="152"/>
      <c r="G9" s="152"/>
      <c r="H9" s="152"/>
    </row>
    <row r="10" spans="1:16" ht="18" customHeight="1" x14ac:dyDescent="0.25">
      <c r="A10" s="2" t="s">
        <v>13</v>
      </c>
      <c r="B10" s="182" t="s">
        <v>14</v>
      </c>
      <c r="C10" s="152"/>
      <c r="D10" s="152"/>
      <c r="E10" s="152"/>
      <c r="F10" s="152"/>
      <c r="G10" s="152"/>
      <c r="H10" s="152"/>
    </row>
    <row r="11" spans="1:16" ht="18" customHeight="1" x14ac:dyDescent="0.25">
      <c r="A11" s="2" t="s">
        <v>15</v>
      </c>
      <c r="B11" s="151" t="s">
        <v>16</v>
      </c>
      <c r="C11" s="152"/>
      <c r="D11" s="152"/>
      <c r="E11" s="152"/>
      <c r="F11" s="152"/>
      <c r="G11" s="152"/>
      <c r="H11" s="152"/>
    </row>
    <row r="12" spans="1:16" ht="18" customHeight="1" x14ac:dyDescent="0.25">
      <c r="A12" s="2" t="s">
        <v>17</v>
      </c>
      <c r="B12" s="176" t="s">
        <v>18</v>
      </c>
      <c r="C12" s="152"/>
      <c r="D12" s="152"/>
      <c r="E12" s="152"/>
      <c r="F12" s="152"/>
      <c r="G12" s="152"/>
      <c r="H12" s="152"/>
    </row>
    <row r="13" spans="1:16" ht="18" customHeight="1" x14ac:dyDescent="0.25">
      <c r="A13" s="2" t="s">
        <v>19</v>
      </c>
      <c r="B13" s="151" t="s">
        <v>20</v>
      </c>
      <c r="C13" s="152"/>
      <c r="D13" s="152"/>
      <c r="E13" s="152"/>
      <c r="F13" s="152"/>
      <c r="G13" s="152"/>
      <c r="H13" s="152"/>
    </row>
    <row r="14" spans="1:16" ht="18" customHeight="1" x14ac:dyDescent="0.25">
      <c r="A14" s="2" t="s">
        <v>21</v>
      </c>
      <c r="B14" s="151" t="s">
        <v>22</v>
      </c>
      <c r="C14" s="152"/>
      <c r="D14" s="152"/>
      <c r="E14" s="152"/>
      <c r="F14" s="152"/>
      <c r="G14" s="152"/>
      <c r="H14" s="152"/>
    </row>
    <row r="15" spans="1:16" ht="7.5" customHeight="1" x14ac:dyDescent="0.25"/>
    <row r="16" spans="1:16" ht="21.75" customHeight="1" x14ac:dyDescent="0.25">
      <c r="A16" s="165" t="s">
        <v>23</v>
      </c>
      <c r="B16" s="157"/>
      <c r="C16" s="157"/>
      <c r="D16" s="157"/>
      <c r="E16" s="157"/>
      <c r="F16" s="157"/>
      <c r="G16" s="157"/>
      <c r="H16" s="157"/>
      <c r="I16" s="3"/>
      <c r="J16" s="3"/>
      <c r="K16" s="3"/>
      <c r="L16" s="3"/>
      <c r="M16" s="3"/>
      <c r="N16" s="3"/>
      <c r="O16" s="3"/>
    </row>
    <row r="17" spans="1:16" ht="30" customHeight="1" x14ac:dyDescent="0.25">
      <c r="A17" s="178" t="s">
        <v>24</v>
      </c>
      <c r="B17" s="159"/>
      <c r="C17" s="179" t="s">
        <v>25</v>
      </c>
      <c r="D17" s="159"/>
      <c r="E17" s="158" t="s">
        <v>26</v>
      </c>
      <c r="F17" s="159"/>
      <c r="G17" s="162" t="s">
        <v>27</v>
      </c>
      <c r="H17" s="159"/>
      <c r="I17" s="180" t="s">
        <v>28</v>
      </c>
      <c r="J17" s="159"/>
    </row>
    <row r="18" spans="1:16" ht="37.5" customHeight="1" x14ac:dyDescent="0.25">
      <c r="A18" s="167">
        <v>10</v>
      </c>
      <c r="B18" s="168"/>
      <c r="C18" s="160">
        <v>5</v>
      </c>
      <c r="D18" s="161"/>
      <c r="E18" s="183">
        <v>2</v>
      </c>
      <c r="F18" s="184"/>
      <c r="G18" s="169">
        <v>3</v>
      </c>
      <c r="H18" s="170"/>
      <c r="I18" s="172" t="s">
        <v>29</v>
      </c>
      <c r="J18" s="173"/>
    </row>
    <row r="19" spans="1:16" ht="6" customHeight="1" x14ac:dyDescent="0.25"/>
    <row r="20" spans="1:16" ht="21.75" customHeight="1" x14ac:dyDescent="0.25">
      <c r="A20" s="156" t="s">
        <v>30</v>
      </c>
      <c r="B20" s="157"/>
      <c r="C20" s="157"/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</row>
    <row r="21" spans="1:16" ht="19.5" customHeight="1" x14ac:dyDescent="0.25">
      <c r="A21" s="4" t="s">
        <v>31</v>
      </c>
      <c r="B21" s="4" t="s">
        <v>32</v>
      </c>
      <c r="C21" s="5" t="s">
        <v>33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 t="s">
        <v>34</v>
      </c>
    </row>
    <row r="22" spans="1:16" ht="19.5" customHeight="1" x14ac:dyDescent="0.25">
      <c r="A22" s="205" t="s">
        <v>35</v>
      </c>
      <c r="B22" s="6" t="s">
        <v>36</v>
      </c>
      <c r="C22" s="171" t="s">
        <v>37</v>
      </c>
      <c r="D22" s="154"/>
      <c r="E22" s="154"/>
      <c r="F22" s="154"/>
      <c r="G22" s="154"/>
      <c r="H22" s="154"/>
      <c r="I22" s="154"/>
      <c r="J22" s="154"/>
      <c r="K22" s="154"/>
      <c r="L22" s="154"/>
      <c r="M22" s="155"/>
      <c r="N22" s="138" t="s">
        <v>38</v>
      </c>
    </row>
    <row r="23" spans="1:16" ht="19.5" customHeight="1" x14ac:dyDescent="0.25">
      <c r="A23" s="205" t="s">
        <v>39</v>
      </c>
      <c r="B23" s="6" t="s">
        <v>36</v>
      </c>
      <c r="C23" s="171" t="s">
        <v>40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5"/>
      <c r="N23" s="138" t="s">
        <v>41</v>
      </c>
    </row>
    <row r="24" spans="1:16" ht="19.5" customHeight="1" x14ac:dyDescent="0.25">
      <c r="A24" s="206" t="s">
        <v>42</v>
      </c>
      <c r="B24" s="7" t="s">
        <v>43</v>
      </c>
      <c r="C24" s="153" t="s">
        <v>44</v>
      </c>
      <c r="D24" s="154"/>
      <c r="E24" s="154"/>
      <c r="F24" s="154"/>
      <c r="G24" s="154"/>
      <c r="H24" s="154"/>
      <c r="I24" s="154"/>
      <c r="J24" s="154"/>
      <c r="K24" s="154"/>
      <c r="L24" s="154"/>
      <c r="M24" s="155"/>
      <c r="N24" s="138" t="s">
        <v>45</v>
      </c>
    </row>
    <row r="25" spans="1:16" ht="19.5" customHeight="1" x14ac:dyDescent="0.25">
      <c r="A25" s="207" t="s">
        <v>46</v>
      </c>
      <c r="B25" s="8" t="s">
        <v>47</v>
      </c>
      <c r="C25" s="166" t="s">
        <v>48</v>
      </c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38" t="s">
        <v>49</v>
      </c>
    </row>
    <row r="26" spans="1:16" ht="19.5" customHeight="1" x14ac:dyDescent="0.25">
      <c r="A26" s="208" t="s">
        <v>50</v>
      </c>
      <c r="B26" s="9" t="s">
        <v>51</v>
      </c>
      <c r="C26" s="163" t="s">
        <v>52</v>
      </c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53</v>
      </c>
    </row>
    <row r="27" spans="1:16" ht="19.5" customHeight="1" x14ac:dyDescent="0.25">
      <c r="A27" s="209" t="s">
        <v>54</v>
      </c>
      <c r="B27" s="10" t="s">
        <v>55</v>
      </c>
      <c r="C27" s="177" t="s">
        <v>56</v>
      </c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38" t="s">
        <v>57</v>
      </c>
    </row>
    <row r="28" spans="1:16" ht="19.5" customHeight="1" x14ac:dyDescent="0.25">
      <c r="A28" s="209" t="s">
        <v>58</v>
      </c>
      <c r="B28" s="10" t="s">
        <v>55</v>
      </c>
      <c r="C28" s="177" t="s">
        <v>59</v>
      </c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38" t="s">
        <v>60</v>
      </c>
    </row>
    <row r="29" spans="1:16" ht="19.5" customHeight="1" x14ac:dyDescent="0.25">
      <c r="A29" s="210" t="s">
        <v>61</v>
      </c>
      <c r="B29" s="11" t="s">
        <v>62</v>
      </c>
      <c r="C29" s="164" t="s">
        <v>63</v>
      </c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38" t="s">
        <v>64</v>
      </c>
    </row>
    <row r="30" spans="1:16" ht="6" customHeight="1" x14ac:dyDescent="0.25"/>
    <row r="31" spans="1:16" ht="21.75" customHeight="1" x14ac:dyDescent="0.25">
      <c r="A31" s="165" t="s">
        <v>65</v>
      </c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</row>
    <row r="32" spans="1:16" ht="19.5" customHeight="1" x14ac:dyDescent="0.25">
      <c r="A32" s="4" t="s">
        <v>66</v>
      </c>
      <c r="B32" s="4" t="s">
        <v>67</v>
      </c>
      <c r="C32" s="4" t="s">
        <v>68</v>
      </c>
      <c r="D32" s="4"/>
      <c r="E32" s="4"/>
      <c r="F32" s="4" t="s">
        <v>69</v>
      </c>
      <c r="G32" s="4"/>
      <c r="H32" s="4"/>
      <c r="I32" s="4"/>
      <c r="J32" s="4" t="s">
        <v>70</v>
      </c>
      <c r="K32" s="4" t="s">
        <v>13</v>
      </c>
      <c r="L32" s="4" t="s">
        <v>17</v>
      </c>
    </row>
    <row r="33" spans="1:14" ht="19.5" customHeight="1" x14ac:dyDescent="0.25">
      <c r="A33" s="12">
        <v>1</v>
      </c>
      <c r="B33" s="13" t="s">
        <v>71</v>
      </c>
      <c r="C33" s="13" t="s">
        <v>72</v>
      </c>
      <c r="D33" s="13"/>
      <c r="E33" s="13"/>
      <c r="F33" s="13" t="s">
        <v>73</v>
      </c>
      <c r="G33" s="13"/>
      <c r="H33" s="13"/>
      <c r="I33" s="14"/>
      <c r="J33" s="15" t="s">
        <v>74</v>
      </c>
      <c r="K33" s="14" t="s">
        <v>75</v>
      </c>
      <c r="L33" s="13" t="s">
        <v>76</v>
      </c>
      <c r="M33" s="13"/>
      <c r="N33" s="13"/>
    </row>
    <row r="34" spans="1:14" ht="19.5" customHeight="1" x14ac:dyDescent="0.25">
      <c r="A34" s="12">
        <v>2</v>
      </c>
      <c r="B34" s="13" t="s">
        <v>77</v>
      </c>
      <c r="C34" s="13" t="s">
        <v>78</v>
      </c>
      <c r="D34" s="13"/>
      <c r="E34" s="13"/>
      <c r="F34" s="13" t="s">
        <v>79</v>
      </c>
      <c r="G34" s="13"/>
      <c r="H34" s="13"/>
      <c r="I34" s="14"/>
      <c r="J34" s="15" t="s">
        <v>74</v>
      </c>
      <c r="K34" s="14" t="s">
        <v>75</v>
      </c>
      <c r="L34" s="13" t="s">
        <v>76</v>
      </c>
      <c r="M34" s="13"/>
      <c r="N34" s="13"/>
    </row>
    <row r="35" spans="1:14" ht="19.5" customHeight="1" x14ac:dyDescent="0.25">
      <c r="A35" s="12">
        <v>3</v>
      </c>
      <c r="B35" s="13" t="s">
        <v>80</v>
      </c>
      <c r="C35" s="13" t="s">
        <v>81</v>
      </c>
      <c r="D35" s="13"/>
      <c r="E35" s="13"/>
      <c r="F35" s="13" t="s">
        <v>82</v>
      </c>
      <c r="G35" s="13"/>
      <c r="H35" s="13"/>
      <c r="I35" s="14"/>
      <c r="J35" s="15" t="s">
        <v>74</v>
      </c>
      <c r="K35" s="14" t="s">
        <v>83</v>
      </c>
      <c r="L35" s="13" t="s">
        <v>76</v>
      </c>
      <c r="M35" s="13"/>
      <c r="N35" s="13"/>
    </row>
    <row r="36" spans="1:14" ht="19.5" customHeight="1" x14ac:dyDescent="0.25">
      <c r="A36" s="12">
        <v>4</v>
      </c>
      <c r="B36" s="13" t="s">
        <v>84</v>
      </c>
      <c r="C36" s="13" t="s">
        <v>85</v>
      </c>
      <c r="D36" s="13"/>
      <c r="E36" s="13"/>
      <c r="F36" s="13" t="s">
        <v>86</v>
      </c>
      <c r="G36" s="13"/>
      <c r="H36" s="13"/>
      <c r="I36" s="14"/>
      <c r="J36" s="15" t="s">
        <v>87</v>
      </c>
      <c r="K36" s="14" t="s">
        <v>75</v>
      </c>
      <c r="L36" s="13" t="s">
        <v>76</v>
      </c>
      <c r="M36" s="13"/>
      <c r="N36" s="13"/>
    </row>
    <row r="37" spans="1:14" ht="19.5" customHeight="1" x14ac:dyDescent="0.25">
      <c r="A37" s="12">
        <v>5</v>
      </c>
      <c r="B37" s="13" t="s">
        <v>88</v>
      </c>
      <c r="C37" s="13" t="s">
        <v>89</v>
      </c>
      <c r="D37" s="13"/>
      <c r="E37" s="13"/>
      <c r="F37" s="13" t="s">
        <v>90</v>
      </c>
      <c r="G37" s="13"/>
      <c r="H37" s="13"/>
      <c r="I37" s="14"/>
      <c r="J37" s="15" t="s">
        <v>87</v>
      </c>
      <c r="K37" s="14" t="s">
        <v>83</v>
      </c>
      <c r="L37" s="13" t="s">
        <v>76</v>
      </c>
      <c r="M37" s="13"/>
      <c r="N37" s="13"/>
    </row>
    <row r="38" spans="1:14" ht="19.5" customHeight="1" x14ac:dyDescent="0.25">
      <c r="A38" s="12">
        <v>6</v>
      </c>
      <c r="B38" s="13" t="s">
        <v>91</v>
      </c>
      <c r="C38" s="13" t="s">
        <v>92</v>
      </c>
      <c r="D38" s="13"/>
      <c r="E38" s="13"/>
      <c r="F38" s="13" t="s">
        <v>93</v>
      </c>
      <c r="G38" s="13"/>
      <c r="H38" s="13"/>
      <c r="I38" s="14"/>
      <c r="J38" s="15" t="s">
        <v>87</v>
      </c>
      <c r="K38" s="14" t="s">
        <v>94</v>
      </c>
      <c r="L38" s="13" t="s">
        <v>18</v>
      </c>
      <c r="M38" s="13"/>
      <c r="N38" s="13"/>
    </row>
    <row r="39" spans="1:14" ht="19.5" customHeight="1" x14ac:dyDescent="0.25">
      <c r="A39" s="12">
        <v>7</v>
      </c>
      <c r="B39" s="13" t="s">
        <v>95</v>
      </c>
      <c r="C39" s="13" t="s">
        <v>96</v>
      </c>
      <c r="D39" s="13"/>
      <c r="E39" s="13"/>
      <c r="F39" s="13" t="s">
        <v>97</v>
      </c>
      <c r="G39" s="13"/>
      <c r="H39" s="13"/>
      <c r="I39" s="14"/>
      <c r="J39" s="15" t="s">
        <v>98</v>
      </c>
      <c r="K39" s="14" t="s">
        <v>75</v>
      </c>
      <c r="L39" s="13" t="s">
        <v>18</v>
      </c>
      <c r="M39" s="13"/>
      <c r="N39" s="13"/>
    </row>
    <row r="40" spans="1:14" ht="19.5" customHeight="1" x14ac:dyDescent="0.25">
      <c r="A40" s="12">
        <v>8</v>
      </c>
      <c r="B40" s="13" t="s">
        <v>99</v>
      </c>
      <c r="C40" s="13" t="s">
        <v>100</v>
      </c>
      <c r="D40" s="13"/>
      <c r="E40" s="13"/>
      <c r="F40" s="13" t="s">
        <v>101</v>
      </c>
      <c r="G40" s="13"/>
      <c r="H40" s="13"/>
      <c r="I40" s="14"/>
      <c r="J40" s="15" t="s">
        <v>98</v>
      </c>
      <c r="K40" s="14" t="s">
        <v>83</v>
      </c>
      <c r="L40" s="13" t="s">
        <v>102</v>
      </c>
      <c r="M40" s="13"/>
      <c r="N40" s="13"/>
    </row>
    <row r="41" spans="1:14" ht="19.5" customHeight="1" x14ac:dyDescent="0.25">
      <c r="A41" s="12">
        <v>9</v>
      </c>
      <c r="B41" s="13" t="s">
        <v>103</v>
      </c>
      <c r="C41" s="13" t="s">
        <v>104</v>
      </c>
      <c r="D41" s="13"/>
      <c r="E41" s="13"/>
      <c r="F41" s="13" t="s">
        <v>105</v>
      </c>
      <c r="G41" s="13"/>
      <c r="H41" s="13"/>
      <c r="I41" s="14"/>
      <c r="J41" s="15" t="s">
        <v>98</v>
      </c>
      <c r="K41" s="14" t="s">
        <v>83</v>
      </c>
      <c r="L41" s="13" t="s">
        <v>102</v>
      </c>
      <c r="M41" s="13"/>
      <c r="N41" s="13"/>
    </row>
    <row r="42" spans="1:14" ht="19.5" customHeight="1" x14ac:dyDescent="0.25">
      <c r="A42" s="12">
        <v>10</v>
      </c>
      <c r="B42" s="13" t="s">
        <v>106</v>
      </c>
      <c r="C42" s="13" t="s">
        <v>107</v>
      </c>
      <c r="D42" s="13"/>
      <c r="E42" s="13"/>
      <c r="F42" s="13" t="s">
        <v>108</v>
      </c>
      <c r="G42" s="13"/>
      <c r="H42" s="13"/>
      <c r="I42" s="14"/>
      <c r="J42" s="15" t="s">
        <v>109</v>
      </c>
      <c r="K42" s="14" t="s">
        <v>94</v>
      </c>
      <c r="L42" s="13" t="s">
        <v>102</v>
      </c>
      <c r="M42" s="13"/>
      <c r="N42" s="13"/>
    </row>
  </sheetData>
  <mergeCells count="35">
    <mergeCell ref="A1:P1"/>
    <mergeCell ref="B12:H12"/>
    <mergeCell ref="C27:M27"/>
    <mergeCell ref="B11:H11"/>
    <mergeCell ref="A17:B17"/>
    <mergeCell ref="C17:D17"/>
    <mergeCell ref="I17:J17"/>
    <mergeCell ref="C23:M23"/>
    <mergeCell ref="A4:B4"/>
    <mergeCell ref="B8:H8"/>
    <mergeCell ref="B14:H14"/>
    <mergeCell ref="B13:H13"/>
    <mergeCell ref="C4:H4"/>
    <mergeCell ref="B10:H10"/>
    <mergeCell ref="E18:F18"/>
    <mergeCell ref="A2:P2"/>
    <mergeCell ref="A31:P31"/>
    <mergeCell ref="C25:M25"/>
    <mergeCell ref="B7:H7"/>
    <mergeCell ref="A18:B18"/>
    <mergeCell ref="G18:H18"/>
    <mergeCell ref="C22:M22"/>
    <mergeCell ref="I18:J18"/>
    <mergeCell ref="C28:M28"/>
    <mergeCell ref="B5:H5"/>
    <mergeCell ref="C18:D18"/>
    <mergeCell ref="G17:H17"/>
    <mergeCell ref="C26:M26"/>
    <mergeCell ref="C29:M29"/>
    <mergeCell ref="A16:H16"/>
    <mergeCell ref="B9:H9"/>
    <mergeCell ref="B6:H6"/>
    <mergeCell ref="C24:M24"/>
    <mergeCell ref="A20:P20"/>
    <mergeCell ref="E17:F17"/>
  </mergeCells>
  <hyperlinks>
    <hyperlink ref="A22" location="'Raw Data'!A1" display="Raw Data (150 rows)" xr:uid="{00000000-0004-0000-0000-000000000000}"/>
    <hyperlink ref="N22" location="Raw Data!A1" display="→ Open Raw Data (150 rows)" xr:uid="{00000000-0004-0000-0000-000001000000}"/>
    <hyperlink ref="A23" location="'Cleaned Data'!A1" display="Cleaned Data (150 rows)" xr:uid="{00000000-0004-0000-0000-000002000000}"/>
    <hyperlink ref="N23" location="Cleaned Data!A1" display="→ Open Cleaned Data (150 rows)" xr:uid="{00000000-0004-0000-0000-000003000000}"/>
    <hyperlink ref="A24" location="'Gantt Chart'!A1" display="Gantt Chart" xr:uid="{00000000-0004-0000-0000-000004000000}"/>
    <hyperlink ref="N24" location="Gantt Chart!A1" display="→ Open Gantt Chart" xr:uid="{00000000-0004-0000-0000-000005000000}"/>
    <hyperlink ref="A25" location="'Resource Planner'!A1" display="Resource Planner" xr:uid="{00000000-0004-0000-0000-000006000000}"/>
    <hyperlink ref="N25" location="Resource Planner!A1" display="→ Open Resource Planner" xr:uid="{00000000-0004-0000-0000-000007000000}"/>
    <hyperlink ref="A26" location="'Task Tracker'!A1" display="Task Tracker" xr:uid="{00000000-0004-0000-0000-000008000000}"/>
    <hyperlink ref="N26" location="Task Tracker!A1" display="→ Open Task Tracker" xr:uid="{00000000-0004-0000-0000-000009000000}"/>
    <hyperlink ref="A27" location="'Data Reference'!A1" display="Data Reference" xr:uid="{00000000-0004-0000-0000-00000A000000}"/>
    <hyperlink ref="N27" location="Data Reference!A1" display="→ Open Data Reference" xr:uid="{00000000-0004-0000-0000-00000B000000}"/>
    <hyperlink ref="A28" location="'Formula Cheat Sheet'!A1" display="Formula Cheat Sheet" xr:uid="{00000000-0004-0000-0000-00000C000000}"/>
    <hyperlink ref="N28" location="Formula Cheat Sheet!A1" display="→ Open Formula Cheat Sheet" xr:uid="{00000000-0004-0000-0000-00000D000000}"/>
    <hyperlink ref="A29" location="'Dashboard Checklist'!A1" display="Dashboard Checklist" xr:uid="{00000000-0004-0000-0000-00000E000000}"/>
    <hyperlink ref="N29" location="Dashboard Checklist!A1" display="→ Open Dashboard Checklist" xr:uid="{00000000-0004-0000-0000-00000F000000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3"/>
  <sheetViews>
    <sheetView zoomScaleNormal="100" workbookViewId="0">
      <pane ySplit="3" topLeftCell="A4" activePane="bottomLeft" state="frozen"/>
      <selection pane="bottomLeft" activeCell="O2" sqref="O2"/>
    </sheetView>
  </sheetViews>
  <sheetFormatPr defaultColWidth="8.7109375" defaultRowHeight="15" x14ac:dyDescent="0.25"/>
  <cols>
    <col min="1" max="1" width="7.5703125" customWidth="1"/>
    <col min="2" max="2" width="40.5703125" customWidth="1"/>
    <col min="3" max="3" width="10" customWidth="1"/>
    <col min="4" max="4" width="19" customWidth="1"/>
    <col min="5" max="5" width="18" customWidth="1"/>
    <col min="6" max="6" width="13" customWidth="1"/>
    <col min="7" max="7" width="6.140625" customWidth="1"/>
    <col min="8" max="8" width="9.85546875" customWidth="1"/>
    <col min="9" max="9" width="14" customWidth="1"/>
    <col min="10" max="10" width="13" customWidth="1"/>
    <col min="11" max="11" width="11" customWidth="1"/>
    <col min="12" max="12" width="17" customWidth="1"/>
    <col min="13" max="13" width="8" customWidth="1"/>
    <col min="14" max="14" width="16" customWidth="1"/>
    <col min="15" max="15" width="29" customWidth="1"/>
  </cols>
  <sheetData>
    <row r="1" spans="1:15" ht="25.5" customHeight="1" x14ac:dyDescent="0.25">
      <c r="A1" s="186" t="s">
        <v>110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</row>
    <row r="2" spans="1:15" ht="15" customHeight="1" x14ac:dyDescent="0.25">
      <c r="O2" s="139" t="s">
        <v>111</v>
      </c>
    </row>
    <row r="3" spans="1:15" ht="31.5" customHeight="1" x14ac:dyDescent="0.25">
      <c r="A3" s="16" t="s">
        <v>112</v>
      </c>
      <c r="B3" s="16" t="s">
        <v>113</v>
      </c>
      <c r="C3" s="16" t="s">
        <v>70</v>
      </c>
      <c r="D3" s="16" t="s">
        <v>114</v>
      </c>
      <c r="E3" s="16" t="s">
        <v>11</v>
      </c>
      <c r="F3" s="16" t="s">
        <v>7</v>
      </c>
      <c r="G3" s="16" t="s">
        <v>9</v>
      </c>
      <c r="H3" s="16" t="s">
        <v>115</v>
      </c>
      <c r="I3" s="16" t="s">
        <v>17</v>
      </c>
      <c r="J3" s="16" t="s">
        <v>116</v>
      </c>
      <c r="K3" s="16" t="s">
        <v>13</v>
      </c>
      <c r="L3" s="16" t="s">
        <v>117</v>
      </c>
      <c r="M3" s="16" t="s">
        <v>118</v>
      </c>
      <c r="N3" s="16" t="s">
        <v>119</v>
      </c>
      <c r="O3" s="16" t="s">
        <v>120</v>
      </c>
    </row>
    <row r="4" spans="1:15" ht="15" customHeight="1" x14ac:dyDescent="0.25">
      <c r="A4" s="17">
        <v>1</v>
      </c>
      <c r="B4" s="18" t="s">
        <v>71</v>
      </c>
      <c r="C4" s="17" t="s">
        <v>121</v>
      </c>
      <c r="D4" s="17" t="s">
        <v>122</v>
      </c>
      <c r="E4" s="17" t="s">
        <v>123</v>
      </c>
      <c r="F4" s="17" t="s">
        <v>124</v>
      </c>
      <c r="G4" s="17"/>
      <c r="H4" s="17">
        <v>10</v>
      </c>
      <c r="I4" s="17" t="s">
        <v>76</v>
      </c>
      <c r="J4" s="17" t="s">
        <v>125</v>
      </c>
      <c r="K4" s="17" t="s">
        <v>126</v>
      </c>
      <c r="L4" s="17" t="s">
        <v>127</v>
      </c>
      <c r="M4" s="17" t="s">
        <v>128</v>
      </c>
      <c r="N4" s="19" t="s">
        <v>129</v>
      </c>
      <c r="O4" s="17" t="s">
        <v>130</v>
      </c>
    </row>
    <row r="5" spans="1:15" ht="15" customHeight="1" x14ac:dyDescent="0.25">
      <c r="A5" s="20">
        <v>2</v>
      </c>
      <c r="B5" s="21" t="s">
        <v>77</v>
      </c>
      <c r="C5" s="20" t="s">
        <v>131</v>
      </c>
      <c r="D5" s="20" t="s">
        <v>132</v>
      </c>
      <c r="E5" s="20" t="s">
        <v>133</v>
      </c>
      <c r="F5" s="20" t="s">
        <v>134</v>
      </c>
      <c r="G5" s="20"/>
      <c r="H5" s="20">
        <v>14</v>
      </c>
      <c r="I5" s="20" t="s">
        <v>135</v>
      </c>
      <c r="J5" s="20" t="s">
        <v>136</v>
      </c>
      <c r="K5" s="20" t="s">
        <v>137</v>
      </c>
      <c r="L5" s="20" t="s">
        <v>138</v>
      </c>
      <c r="M5" s="20" t="s">
        <v>128</v>
      </c>
      <c r="N5" s="22" t="s">
        <v>139</v>
      </c>
      <c r="O5" s="20" t="s">
        <v>130</v>
      </c>
    </row>
    <row r="6" spans="1:15" ht="15" customHeight="1" x14ac:dyDescent="0.25">
      <c r="A6" s="17">
        <v>3</v>
      </c>
      <c r="B6" s="18" t="s">
        <v>80</v>
      </c>
      <c r="C6" s="17" t="s">
        <v>98</v>
      </c>
      <c r="D6" s="17" t="s">
        <v>140</v>
      </c>
      <c r="E6" s="17" t="s">
        <v>141</v>
      </c>
      <c r="F6" s="17" t="s">
        <v>142</v>
      </c>
      <c r="G6" s="17"/>
      <c r="H6" s="17">
        <v>7</v>
      </c>
      <c r="I6" s="17" t="s">
        <v>143</v>
      </c>
      <c r="J6" s="17" t="s">
        <v>144</v>
      </c>
      <c r="K6" s="17" t="s">
        <v>145</v>
      </c>
      <c r="L6" s="17" t="s">
        <v>138</v>
      </c>
      <c r="M6" s="17" t="s">
        <v>146</v>
      </c>
      <c r="N6" s="19" t="s">
        <v>147</v>
      </c>
      <c r="O6" s="17" t="s">
        <v>130</v>
      </c>
    </row>
    <row r="7" spans="1:15" ht="15" customHeight="1" x14ac:dyDescent="0.25">
      <c r="A7" s="20">
        <v>4</v>
      </c>
      <c r="B7" s="21" t="s">
        <v>84</v>
      </c>
      <c r="C7" s="20" t="s">
        <v>148</v>
      </c>
      <c r="D7" s="20" t="s">
        <v>149</v>
      </c>
      <c r="E7" s="20" t="s">
        <v>150</v>
      </c>
      <c r="F7" s="20" t="s">
        <v>151</v>
      </c>
      <c r="G7" s="20"/>
      <c r="H7" s="20">
        <v>10</v>
      </c>
      <c r="I7" s="20" t="s">
        <v>152</v>
      </c>
      <c r="J7" s="20" t="s">
        <v>153</v>
      </c>
      <c r="K7" s="20" t="s">
        <v>154</v>
      </c>
      <c r="L7" s="20" t="s">
        <v>155</v>
      </c>
      <c r="M7" s="20" t="s">
        <v>156</v>
      </c>
      <c r="N7" s="22" t="s">
        <v>157</v>
      </c>
      <c r="O7" s="20" t="s">
        <v>130</v>
      </c>
    </row>
    <row r="8" spans="1:15" ht="15" customHeight="1" x14ac:dyDescent="0.25">
      <c r="A8" s="17">
        <v>5</v>
      </c>
      <c r="B8" s="18" t="s">
        <v>88</v>
      </c>
      <c r="C8" s="17" t="s">
        <v>121</v>
      </c>
      <c r="D8" s="17" t="s">
        <v>158</v>
      </c>
      <c r="E8" s="17" t="s">
        <v>159</v>
      </c>
      <c r="F8" s="17" t="s">
        <v>160</v>
      </c>
      <c r="G8" s="17"/>
      <c r="H8" s="17">
        <v>12</v>
      </c>
      <c r="I8" s="17" t="s">
        <v>143</v>
      </c>
      <c r="J8" s="17" t="s">
        <v>161</v>
      </c>
      <c r="K8" s="17" t="s">
        <v>145</v>
      </c>
      <c r="L8" s="17" t="s">
        <v>162</v>
      </c>
      <c r="M8" s="17" t="s">
        <v>163</v>
      </c>
      <c r="N8" s="19" t="s">
        <v>164</v>
      </c>
      <c r="O8" s="17" t="s">
        <v>130</v>
      </c>
    </row>
    <row r="9" spans="1:15" ht="15" customHeight="1" x14ac:dyDescent="0.25">
      <c r="A9" s="20">
        <v>6</v>
      </c>
      <c r="B9" s="21" t="s">
        <v>91</v>
      </c>
      <c r="C9" s="20" t="s">
        <v>165</v>
      </c>
      <c r="D9" s="20" t="s">
        <v>166</v>
      </c>
      <c r="E9" s="20" t="s">
        <v>167</v>
      </c>
      <c r="F9" s="20" t="s">
        <v>168</v>
      </c>
      <c r="G9" s="20"/>
      <c r="H9" s="20">
        <v>10</v>
      </c>
      <c r="I9" s="20" t="s">
        <v>152</v>
      </c>
      <c r="J9" s="20" t="s">
        <v>169</v>
      </c>
      <c r="K9" s="20" t="s">
        <v>154</v>
      </c>
      <c r="L9" s="20" t="s">
        <v>170</v>
      </c>
      <c r="M9" s="20" t="s">
        <v>163</v>
      </c>
      <c r="N9" s="22" t="s">
        <v>171</v>
      </c>
      <c r="O9" s="20" t="s">
        <v>172</v>
      </c>
    </row>
    <row r="10" spans="1:15" ht="15" customHeight="1" x14ac:dyDescent="0.25">
      <c r="A10" s="17">
        <v>7</v>
      </c>
      <c r="B10" s="18" t="s">
        <v>77</v>
      </c>
      <c r="C10" s="17" t="s">
        <v>131</v>
      </c>
      <c r="D10" s="17" t="s">
        <v>132</v>
      </c>
      <c r="E10" s="17" t="s">
        <v>133</v>
      </c>
      <c r="F10" s="17" t="s">
        <v>134</v>
      </c>
      <c r="G10" s="17"/>
      <c r="H10" s="17">
        <v>14</v>
      </c>
      <c r="I10" s="17" t="s">
        <v>135</v>
      </c>
      <c r="J10" s="17" t="s">
        <v>136</v>
      </c>
      <c r="K10" s="17" t="s">
        <v>137</v>
      </c>
      <c r="L10" s="17" t="s">
        <v>138</v>
      </c>
      <c r="M10" s="17" t="s">
        <v>128</v>
      </c>
      <c r="N10" s="19" t="s">
        <v>139</v>
      </c>
      <c r="O10" s="17" t="s">
        <v>130</v>
      </c>
    </row>
    <row r="11" spans="1:15" ht="15" customHeight="1" x14ac:dyDescent="0.25">
      <c r="A11" s="20">
        <v>8</v>
      </c>
      <c r="B11" s="21" t="s">
        <v>99</v>
      </c>
      <c r="C11" s="20" t="s">
        <v>148</v>
      </c>
      <c r="D11" s="20" t="s">
        <v>173</v>
      </c>
      <c r="E11" s="20" t="s">
        <v>174</v>
      </c>
      <c r="F11" s="20" t="s">
        <v>175</v>
      </c>
      <c r="G11" s="20"/>
      <c r="H11" s="20">
        <v>28</v>
      </c>
      <c r="I11" s="20" t="s">
        <v>176</v>
      </c>
      <c r="J11" s="20" t="s">
        <v>136</v>
      </c>
      <c r="K11" s="20" t="s">
        <v>126</v>
      </c>
      <c r="L11" s="20" t="s">
        <v>177</v>
      </c>
      <c r="M11" s="20" t="s">
        <v>178</v>
      </c>
      <c r="N11" s="22" t="s">
        <v>179</v>
      </c>
      <c r="O11" s="20" t="s">
        <v>130</v>
      </c>
    </row>
    <row r="12" spans="1:15" ht="15" customHeight="1" x14ac:dyDescent="0.25">
      <c r="A12" s="17">
        <v>9</v>
      </c>
      <c r="B12" s="18" t="s">
        <v>103</v>
      </c>
      <c r="C12" s="17" t="s">
        <v>180</v>
      </c>
      <c r="D12" s="17" t="s">
        <v>181</v>
      </c>
      <c r="E12" s="17" t="s">
        <v>182</v>
      </c>
      <c r="F12" s="17" t="s">
        <v>183</v>
      </c>
      <c r="G12" s="17"/>
      <c r="H12" s="17">
        <v>21</v>
      </c>
      <c r="I12" s="17" t="s">
        <v>152</v>
      </c>
      <c r="J12" s="17" t="s">
        <v>184</v>
      </c>
      <c r="K12" s="17" t="s">
        <v>185</v>
      </c>
      <c r="L12" s="17" t="s">
        <v>186</v>
      </c>
      <c r="M12" s="17"/>
      <c r="N12" s="19" t="s">
        <v>187</v>
      </c>
      <c r="O12" s="17" t="s">
        <v>188</v>
      </c>
    </row>
    <row r="13" spans="1:15" ht="15" customHeight="1" x14ac:dyDescent="0.25">
      <c r="A13" s="20">
        <v>10</v>
      </c>
      <c r="B13" s="21" t="s">
        <v>106</v>
      </c>
      <c r="C13" s="20" t="s">
        <v>189</v>
      </c>
      <c r="D13" s="20" t="s">
        <v>190</v>
      </c>
      <c r="E13" s="20" t="s">
        <v>191</v>
      </c>
      <c r="F13" s="20" t="s">
        <v>192</v>
      </c>
      <c r="G13" s="20"/>
      <c r="H13" s="20">
        <v>12</v>
      </c>
      <c r="I13" s="20" t="s">
        <v>193</v>
      </c>
      <c r="J13" s="20" t="s">
        <v>194</v>
      </c>
      <c r="K13" s="20" t="s">
        <v>195</v>
      </c>
      <c r="L13" s="20" t="s">
        <v>170</v>
      </c>
      <c r="M13" s="20" t="s">
        <v>178</v>
      </c>
      <c r="N13" s="22" t="s">
        <v>196</v>
      </c>
      <c r="O13" s="20" t="s">
        <v>130</v>
      </c>
    </row>
    <row r="14" spans="1:15" ht="15" customHeight="1" x14ac:dyDescent="0.25">
      <c r="A14" s="17">
        <v>11</v>
      </c>
      <c r="B14" s="18" t="s">
        <v>71</v>
      </c>
      <c r="C14" s="17" t="s">
        <v>197</v>
      </c>
      <c r="D14" s="17" t="s">
        <v>181</v>
      </c>
      <c r="E14" s="17" t="s">
        <v>123</v>
      </c>
      <c r="F14" s="17" t="s">
        <v>198</v>
      </c>
      <c r="G14" s="17"/>
      <c r="H14" s="17">
        <v>7</v>
      </c>
      <c r="I14" s="17" t="s">
        <v>193</v>
      </c>
      <c r="J14" s="17" t="s">
        <v>199</v>
      </c>
      <c r="K14" s="17" t="s">
        <v>126</v>
      </c>
      <c r="L14" s="17" t="s">
        <v>127</v>
      </c>
      <c r="M14" s="17" t="s">
        <v>200</v>
      </c>
      <c r="N14" s="19" t="s">
        <v>201</v>
      </c>
      <c r="O14" s="17" t="s">
        <v>202</v>
      </c>
    </row>
    <row r="15" spans="1:15" ht="15" customHeight="1" x14ac:dyDescent="0.25">
      <c r="A15" s="20">
        <v>12</v>
      </c>
      <c r="B15" s="21" t="s">
        <v>77</v>
      </c>
      <c r="C15" s="20" t="s">
        <v>203</v>
      </c>
      <c r="D15" s="20" t="s">
        <v>204</v>
      </c>
      <c r="E15" s="20" t="s">
        <v>205</v>
      </c>
      <c r="F15" s="20" t="s">
        <v>206</v>
      </c>
      <c r="G15" s="20"/>
      <c r="H15" s="20">
        <v>12</v>
      </c>
      <c r="I15" s="20" t="s">
        <v>207</v>
      </c>
      <c r="J15" s="20" t="s">
        <v>208</v>
      </c>
      <c r="K15" s="20" t="s">
        <v>94</v>
      </c>
      <c r="L15" s="20" t="s">
        <v>186</v>
      </c>
      <c r="M15" s="20" t="s">
        <v>200</v>
      </c>
      <c r="N15" s="22" t="s">
        <v>209</v>
      </c>
      <c r="O15" s="20" t="s">
        <v>210</v>
      </c>
    </row>
    <row r="16" spans="1:15" ht="15" customHeight="1" x14ac:dyDescent="0.25">
      <c r="A16" s="17">
        <v>13</v>
      </c>
      <c r="B16" s="18" t="s">
        <v>80</v>
      </c>
      <c r="C16" s="17" t="s">
        <v>121</v>
      </c>
      <c r="D16" s="17" t="s">
        <v>211</v>
      </c>
      <c r="E16" s="17" t="s">
        <v>174</v>
      </c>
      <c r="F16" s="17" t="s">
        <v>212</v>
      </c>
      <c r="G16" s="17"/>
      <c r="H16" s="17">
        <v>10</v>
      </c>
      <c r="I16" s="17" t="s">
        <v>193</v>
      </c>
      <c r="J16" s="17" t="s">
        <v>213</v>
      </c>
      <c r="K16" s="17" t="s">
        <v>214</v>
      </c>
      <c r="L16" s="17" t="s">
        <v>186</v>
      </c>
      <c r="M16" s="17" t="s">
        <v>128</v>
      </c>
      <c r="N16" s="19" t="s">
        <v>215</v>
      </c>
      <c r="O16" s="17" t="s">
        <v>216</v>
      </c>
    </row>
    <row r="17" spans="1:15" ht="15" customHeight="1" x14ac:dyDescent="0.25">
      <c r="A17" s="20">
        <v>14</v>
      </c>
      <c r="B17" s="21" t="s">
        <v>84</v>
      </c>
      <c r="C17" s="20" t="s">
        <v>87</v>
      </c>
      <c r="D17" s="20" t="s">
        <v>211</v>
      </c>
      <c r="E17" s="20" t="s">
        <v>150</v>
      </c>
      <c r="F17" s="20" t="s">
        <v>217</v>
      </c>
      <c r="G17" s="20"/>
      <c r="H17" s="20">
        <v>28</v>
      </c>
      <c r="I17" s="20" t="s">
        <v>218</v>
      </c>
      <c r="J17" s="20" t="s">
        <v>219</v>
      </c>
      <c r="K17" s="20" t="s">
        <v>214</v>
      </c>
      <c r="L17" s="20" t="s">
        <v>186</v>
      </c>
      <c r="M17" s="20" t="s">
        <v>128</v>
      </c>
      <c r="N17" s="22" t="s">
        <v>220</v>
      </c>
      <c r="O17" s="20" t="s">
        <v>210</v>
      </c>
    </row>
    <row r="18" spans="1:15" ht="15" customHeight="1" x14ac:dyDescent="0.25">
      <c r="A18" s="17">
        <v>15</v>
      </c>
      <c r="B18" s="18" t="s">
        <v>88</v>
      </c>
      <c r="C18" s="17" t="s">
        <v>197</v>
      </c>
      <c r="D18" s="17" t="s">
        <v>221</v>
      </c>
      <c r="E18" s="17" t="s">
        <v>159</v>
      </c>
      <c r="F18" s="17" t="s">
        <v>222</v>
      </c>
      <c r="G18" s="17"/>
      <c r="H18" s="17">
        <v>12</v>
      </c>
      <c r="I18" s="17" t="s">
        <v>207</v>
      </c>
      <c r="J18" s="17" t="s">
        <v>223</v>
      </c>
      <c r="K18" s="17" t="s">
        <v>154</v>
      </c>
      <c r="L18" s="17" t="s">
        <v>127</v>
      </c>
      <c r="M18" s="17" t="s">
        <v>224</v>
      </c>
      <c r="N18" s="19" t="s">
        <v>225</v>
      </c>
      <c r="O18" s="17" t="s">
        <v>226</v>
      </c>
    </row>
    <row r="19" spans="1:15" ht="15" customHeight="1" x14ac:dyDescent="0.25">
      <c r="A19" s="20">
        <v>16</v>
      </c>
      <c r="B19" s="21" t="s">
        <v>91</v>
      </c>
      <c r="C19" s="20" t="s">
        <v>109</v>
      </c>
      <c r="D19" s="20" t="s">
        <v>227</v>
      </c>
      <c r="E19" s="20" t="s">
        <v>167</v>
      </c>
      <c r="F19" s="20" t="s">
        <v>228</v>
      </c>
      <c r="G19" s="20"/>
      <c r="H19" s="20">
        <v>10</v>
      </c>
      <c r="I19" s="20" t="s">
        <v>76</v>
      </c>
      <c r="J19" s="20" t="s">
        <v>169</v>
      </c>
      <c r="K19" s="20" t="s">
        <v>145</v>
      </c>
      <c r="L19" s="20" t="s">
        <v>162</v>
      </c>
      <c r="M19" s="20" t="s">
        <v>146</v>
      </c>
      <c r="N19" s="22" t="s">
        <v>229</v>
      </c>
      <c r="O19" s="20" t="s">
        <v>172</v>
      </c>
    </row>
    <row r="20" spans="1:15" ht="15" customHeight="1" x14ac:dyDescent="0.25">
      <c r="A20" s="17">
        <v>17</v>
      </c>
      <c r="B20" s="18" t="s">
        <v>95</v>
      </c>
      <c r="C20" s="17" t="s">
        <v>230</v>
      </c>
      <c r="D20" s="17" t="s">
        <v>231</v>
      </c>
      <c r="E20" s="17" t="s">
        <v>232</v>
      </c>
      <c r="F20" s="17" t="s">
        <v>233</v>
      </c>
      <c r="G20" s="17"/>
      <c r="H20" s="17">
        <v>10</v>
      </c>
      <c r="I20" s="17" t="s">
        <v>193</v>
      </c>
      <c r="J20" s="17" t="s">
        <v>153</v>
      </c>
      <c r="K20" s="17" t="s">
        <v>14</v>
      </c>
      <c r="L20" s="17" t="s">
        <v>177</v>
      </c>
      <c r="M20" s="17" t="s">
        <v>146</v>
      </c>
      <c r="N20" s="19" t="s">
        <v>234</v>
      </c>
      <c r="O20" s="17" t="s">
        <v>235</v>
      </c>
    </row>
    <row r="21" spans="1:15" ht="15" customHeight="1" x14ac:dyDescent="0.25">
      <c r="A21" s="20">
        <v>18</v>
      </c>
      <c r="B21" s="21" t="s">
        <v>99</v>
      </c>
      <c r="C21" s="20" t="s">
        <v>189</v>
      </c>
      <c r="D21" s="20" t="s">
        <v>236</v>
      </c>
      <c r="E21" s="20" t="s">
        <v>174</v>
      </c>
      <c r="F21" s="20" t="s">
        <v>237</v>
      </c>
      <c r="G21" s="20"/>
      <c r="H21" s="20">
        <v>7</v>
      </c>
      <c r="I21" s="20" t="s">
        <v>135</v>
      </c>
      <c r="J21" s="20" t="s">
        <v>238</v>
      </c>
      <c r="K21" s="20" t="s">
        <v>145</v>
      </c>
      <c r="L21" s="20" t="s">
        <v>177</v>
      </c>
      <c r="M21" s="20" t="s">
        <v>239</v>
      </c>
      <c r="N21" s="22" t="s">
        <v>240</v>
      </c>
      <c r="O21" s="20" t="s">
        <v>130</v>
      </c>
    </row>
    <row r="22" spans="1:15" ht="15" customHeight="1" x14ac:dyDescent="0.25">
      <c r="A22" s="17">
        <v>19</v>
      </c>
      <c r="B22" s="18" t="s">
        <v>103</v>
      </c>
      <c r="C22" s="17" t="s">
        <v>241</v>
      </c>
      <c r="D22" s="17" t="s">
        <v>242</v>
      </c>
      <c r="E22" s="17" t="s">
        <v>150</v>
      </c>
      <c r="F22" s="17" t="s">
        <v>243</v>
      </c>
      <c r="G22" s="17"/>
      <c r="H22" s="17">
        <v>12</v>
      </c>
      <c r="I22" s="17" t="s">
        <v>143</v>
      </c>
      <c r="J22" s="17" t="s">
        <v>153</v>
      </c>
      <c r="K22" s="17" t="s">
        <v>154</v>
      </c>
      <c r="L22" s="17" t="s">
        <v>138</v>
      </c>
      <c r="M22" s="17" t="s">
        <v>200</v>
      </c>
      <c r="N22" s="19" t="s">
        <v>244</v>
      </c>
      <c r="O22" s="17" t="s">
        <v>226</v>
      </c>
    </row>
    <row r="23" spans="1:15" ht="15" customHeight="1" x14ac:dyDescent="0.25">
      <c r="A23" s="20">
        <v>20</v>
      </c>
      <c r="B23" s="21" t="s">
        <v>106</v>
      </c>
      <c r="C23" s="20" t="s">
        <v>109</v>
      </c>
      <c r="D23" s="20" t="s">
        <v>245</v>
      </c>
      <c r="E23" s="20" t="s">
        <v>159</v>
      </c>
      <c r="F23" s="20" t="s">
        <v>246</v>
      </c>
      <c r="G23" s="20"/>
      <c r="H23" s="20">
        <v>10</v>
      </c>
      <c r="I23" s="20" t="s">
        <v>76</v>
      </c>
      <c r="J23" s="20" t="s">
        <v>136</v>
      </c>
      <c r="K23" s="20" t="s">
        <v>195</v>
      </c>
      <c r="L23" s="20" t="s">
        <v>155</v>
      </c>
      <c r="M23" s="20" t="s">
        <v>146</v>
      </c>
      <c r="N23" s="22" t="s">
        <v>247</v>
      </c>
      <c r="O23" s="20" t="s">
        <v>216</v>
      </c>
    </row>
    <row r="24" spans="1:15" ht="15" customHeight="1" x14ac:dyDescent="0.25">
      <c r="A24" s="17">
        <v>21</v>
      </c>
      <c r="B24" s="18" t="s">
        <v>71</v>
      </c>
      <c r="C24" s="17" t="s">
        <v>230</v>
      </c>
      <c r="D24" s="17" t="s">
        <v>248</v>
      </c>
      <c r="E24" s="17" t="s">
        <v>249</v>
      </c>
      <c r="F24" s="17" t="s">
        <v>250</v>
      </c>
      <c r="G24" s="17"/>
      <c r="H24" s="17">
        <v>21</v>
      </c>
      <c r="I24" s="17" t="s">
        <v>152</v>
      </c>
      <c r="J24" s="17" t="s">
        <v>144</v>
      </c>
      <c r="K24" s="17" t="s">
        <v>145</v>
      </c>
      <c r="L24" s="17" t="s">
        <v>138</v>
      </c>
      <c r="M24" s="17" t="s">
        <v>178</v>
      </c>
      <c r="N24" s="19" t="s">
        <v>251</v>
      </c>
      <c r="O24" s="17" t="s">
        <v>210</v>
      </c>
    </row>
    <row r="25" spans="1:15" ht="15" customHeight="1" x14ac:dyDescent="0.25">
      <c r="A25" s="20">
        <v>22</v>
      </c>
      <c r="B25" s="21" t="s">
        <v>77</v>
      </c>
      <c r="C25" s="20" t="s">
        <v>165</v>
      </c>
      <c r="D25" s="20" t="s">
        <v>252</v>
      </c>
      <c r="E25" s="20" t="s">
        <v>205</v>
      </c>
      <c r="F25" s="20" t="s">
        <v>253</v>
      </c>
      <c r="G25" s="20"/>
      <c r="H25" s="20">
        <v>28</v>
      </c>
      <c r="I25" s="20" t="s">
        <v>218</v>
      </c>
      <c r="J25" s="20" t="s">
        <v>254</v>
      </c>
      <c r="K25" s="20" t="s">
        <v>255</v>
      </c>
      <c r="L25" s="20" t="s">
        <v>127</v>
      </c>
      <c r="M25" s="20" t="s">
        <v>239</v>
      </c>
      <c r="N25" s="22" t="s">
        <v>256</v>
      </c>
      <c r="O25" s="20" t="s">
        <v>130</v>
      </c>
    </row>
    <row r="26" spans="1:15" ht="15" customHeight="1" x14ac:dyDescent="0.25">
      <c r="A26" s="17">
        <v>23</v>
      </c>
      <c r="B26" s="18" t="s">
        <v>91</v>
      </c>
      <c r="C26" s="17" t="s">
        <v>165</v>
      </c>
      <c r="D26" s="17" t="s">
        <v>166</v>
      </c>
      <c r="E26" s="17" t="s">
        <v>167</v>
      </c>
      <c r="F26" s="17" t="s">
        <v>168</v>
      </c>
      <c r="G26" s="17"/>
      <c r="H26" s="17">
        <v>10</v>
      </c>
      <c r="I26" s="17" t="s">
        <v>152</v>
      </c>
      <c r="J26" s="17" t="s">
        <v>169</v>
      </c>
      <c r="K26" s="17" t="s">
        <v>154</v>
      </c>
      <c r="L26" s="17" t="s">
        <v>170</v>
      </c>
      <c r="M26" s="17" t="s">
        <v>163</v>
      </c>
      <c r="N26" s="19" t="s">
        <v>171</v>
      </c>
      <c r="O26" s="17" t="s">
        <v>172</v>
      </c>
    </row>
    <row r="27" spans="1:15" ht="15" customHeight="1" x14ac:dyDescent="0.25">
      <c r="A27" s="20">
        <v>24</v>
      </c>
      <c r="B27" s="21" t="s">
        <v>84</v>
      </c>
      <c r="C27" s="20" t="s">
        <v>148</v>
      </c>
      <c r="D27" s="20" t="s">
        <v>6</v>
      </c>
      <c r="E27" s="20" t="s">
        <v>150</v>
      </c>
      <c r="F27" s="20" t="s">
        <v>257</v>
      </c>
      <c r="G27" s="20"/>
      <c r="H27" s="20">
        <v>28</v>
      </c>
      <c r="I27" s="20" t="s">
        <v>102</v>
      </c>
      <c r="J27" s="20" t="s">
        <v>136</v>
      </c>
      <c r="K27" s="20" t="s">
        <v>75</v>
      </c>
      <c r="L27" s="20" t="s">
        <v>177</v>
      </c>
      <c r="M27" s="20" t="s">
        <v>128</v>
      </c>
      <c r="N27" s="22" t="s">
        <v>258</v>
      </c>
      <c r="O27" s="20" t="s">
        <v>216</v>
      </c>
    </row>
    <row r="28" spans="1:15" ht="15" customHeight="1" x14ac:dyDescent="0.25">
      <c r="A28" s="17">
        <v>25</v>
      </c>
      <c r="B28" s="18" t="s">
        <v>88</v>
      </c>
      <c r="C28" s="17" t="s">
        <v>74</v>
      </c>
      <c r="D28" s="17" t="s">
        <v>259</v>
      </c>
      <c r="E28" s="17" t="s">
        <v>191</v>
      </c>
      <c r="F28" s="17" t="s">
        <v>260</v>
      </c>
      <c r="G28" s="17"/>
      <c r="H28" s="17">
        <v>7</v>
      </c>
      <c r="I28" s="17" t="s">
        <v>218</v>
      </c>
      <c r="J28" s="17" t="s">
        <v>261</v>
      </c>
      <c r="K28" s="17" t="s">
        <v>154</v>
      </c>
      <c r="L28" s="17" t="s">
        <v>186</v>
      </c>
      <c r="M28" s="17" t="s">
        <v>178</v>
      </c>
      <c r="N28" s="19" t="s">
        <v>262</v>
      </c>
      <c r="O28" s="17" t="s">
        <v>235</v>
      </c>
    </row>
    <row r="29" spans="1:15" ht="15" customHeight="1" x14ac:dyDescent="0.25">
      <c r="A29" s="20">
        <v>26</v>
      </c>
      <c r="B29" s="21" t="s">
        <v>91</v>
      </c>
      <c r="C29" s="20" t="s">
        <v>165</v>
      </c>
      <c r="D29" s="20" t="s">
        <v>263</v>
      </c>
      <c r="E29" s="20" t="s">
        <v>123</v>
      </c>
      <c r="F29" s="20" t="s">
        <v>264</v>
      </c>
      <c r="G29" s="20"/>
      <c r="H29" s="20">
        <v>12</v>
      </c>
      <c r="I29" s="20" t="s">
        <v>143</v>
      </c>
      <c r="J29" s="20" t="s">
        <v>265</v>
      </c>
      <c r="K29" s="20" t="s">
        <v>214</v>
      </c>
      <c r="L29" s="20" t="s">
        <v>177</v>
      </c>
      <c r="M29" s="20" t="s">
        <v>146</v>
      </c>
      <c r="N29" s="22" t="s">
        <v>266</v>
      </c>
      <c r="O29" s="20" t="s">
        <v>172</v>
      </c>
    </row>
    <row r="30" spans="1:15" ht="15" customHeight="1" x14ac:dyDescent="0.25">
      <c r="A30" s="17">
        <v>27</v>
      </c>
      <c r="B30" s="18" t="s">
        <v>95</v>
      </c>
      <c r="C30" s="17" t="s">
        <v>267</v>
      </c>
      <c r="D30" s="17" t="s">
        <v>190</v>
      </c>
      <c r="E30" s="17" t="s">
        <v>205</v>
      </c>
      <c r="F30" s="17" t="s">
        <v>268</v>
      </c>
      <c r="G30" s="17"/>
      <c r="H30" s="17">
        <v>10</v>
      </c>
      <c r="I30" s="17" t="s">
        <v>18</v>
      </c>
      <c r="J30" s="17" t="s">
        <v>213</v>
      </c>
      <c r="K30" s="17" t="s">
        <v>145</v>
      </c>
      <c r="L30" s="17" t="s">
        <v>138</v>
      </c>
      <c r="M30" s="17" t="s">
        <v>146</v>
      </c>
      <c r="N30" s="19" t="s">
        <v>269</v>
      </c>
      <c r="O30" s="17" t="s">
        <v>172</v>
      </c>
    </row>
    <row r="31" spans="1:15" ht="15" customHeight="1" x14ac:dyDescent="0.25">
      <c r="A31" s="20">
        <v>28</v>
      </c>
      <c r="B31" s="21" t="s">
        <v>99</v>
      </c>
      <c r="C31" s="20" t="s">
        <v>270</v>
      </c>
      <c r="D31" s="20" t="s">
        <v>271</v>
      </c>
      <c r="E31" s="20" t="s">
        <v>141</v>
      </c>
      <c r="F31" s="20" t="s">
        <v>134</v>
      </c>
      <c r="G31" s="20"/>
      <c r="H31" s="20">
        <v>12</v>
      </c>
      <c r="I31" s="20" t="s">
        <v>207</v>
      </c>
      <c r="J31" s="20" t="s">
        <v>272</v>
      </c>
      <c r="K31" s="20" t="s">
        <v>126</v>
      </c>
      <c r="L31" s="20" t="s">
        <v>155</v>
      </c>
      <c r="M31" s="20" t="s">
        <v>224</v>
      </c>
      <c r="N31" s="22" t="s">
        <v>273</v>
      </c>
      <c r="O31" s="20" t="s">
        <v>274</v>
      </c>
    </row>
    <row r="32" spans="1:15" ht="15" customHeight="1" x14ac:dyDescent="0.25">
      <c r="A32" s="17">
        <v>29</v>
      </c>
      <c r="B32" s="18" t="s">
        <v>103</v>
      </c>
      <c r="C32" s="17" t="s">
        <v>74</v>
      </c>
      <c r="D32" s="17" t="s">
        <v>211</v>
      </c>
      <c r="E32" s="17" t="s">
        <v>182</v>
      </c>
      <c r="F32" s="17" t="s">
        <v>275</v>
      </c>
      <c r="G32" s="17"/>
      <c r="H32" s="17">
        <v>28</v>
      </c>
      <c r="I32" s="17" t="s">
        <v>207</v>
      </c>
      <c r="J32" s="17" t="s">
        <v>194</v>
      </c>
      <c r="K32" s="17" t="s">
        <v>83</v>
      </c>
      <c r="L32" s="17" t="s">
        <v>170</v>
      </c>
      <c r="M32" s="17" t="s">
        <v>156</v>
      </c>
      <c r="N32" s="19" t="s">
        <v>276</v>
      </c>
      <c r="O32" s="17" t="s">
        <v>235</v>
      </c>
    </row>
    <row r="33" spans="1:15" ht="15" customHeight="1" x14ac:dyDescent="0.25">
      <c r="A33" s="20">
        <v>30</v>
      </c>
      <c r="B33" s="21" t="s">
        <v>106</v>
      </c>
      <c r="C33" s="20" t="s">
        <v>165</v>
      </c>
      <c r="D33" s="20" t="s">
        <v>211</v>
      </c>
      <c r="E33" s="20" t="s">
        <v>191</v>
      </c>
      <c r="F33" s="20" t="s">
        <v>277</v>
      </c>
      <c r="G33" s="20"/>
      <c r="H33" s="20">
        <v>21</v>
      </c>
      <c r="I33" s="20" t="s">
        <v>278</v>
      </c>
      <c r="J33" s="20" t="s">
        <v>279</v>
      </c>
      <c r="K33" s="20" t="s">
        <v>154</v>
      </c>
      <c r="L33" s="20" t="s">
        <v>127</v>
      </c>
      <c r="M33" s="20" t="s">
        <v>224</v>
      </c>
      <c r="N33" s="22" t="s">
        <v>280</v>
      </c>
      <c r="O33" s="20" t="s">
        <v>210</v>
      </c>
    </row>
    <row r="34" spans="1:15" ht="15" customHeight="1" x14ac:dyDescent="0.25">
      <c r="A34" s="17">
        <v>31</v>
      </c>
      <c r="B34" s="18" t="s">
        <v>71</v>
      </c>
      <c r="C34" s="17" t="s">
        <v>98</v>
      </c>
      <c r="D34" s="17" t="s">
        <v>211</v>
      </c>
      <c r="E34" s="17" t="s">
        <v>249</v>
      </c>
      <c r="F34" s="17" t="s">
        <v>281</v>
      </c>
      <c r="G34" s="17"/>
      <c r="H34" s="17">
        <v>10</v>
      </c>
      <c r="I34" s="17" t="s">
        <v>218</v>
      </c>
      <c r="J34" s="17" t="s">
        <v>272</v>
      </c>
      <c r="K34" s="17" t="s">
        <v>214</v>
      </c>
      <c r="L34" s="17" t="s">
        <v>162</v>
      </c>
      <c r="M34" s="17" t="s">
        <v>239</v>
      </c>
      <c r="N34" s="19" t="s">
        <v>282</v>
      </c>
      <c r="O34" s="17" t="s">
        <v>274</v>
      </c>
    </row>
    <row r="35" spans="1:15" ht="15" customHeight="1" x14ac:dyDescent="0.25">
      <c r="A35" s="20">
        <v>32</v>
      </c>
      <c r="B35" s="21" t="s">
        <v>77</v>
      </c>
      <c r="C35" s="20" t="s">
        <v>270</v>
      </c>
      <c r="D35" s="20" t="s">
        <v>283</v>
      </c>
      <c r="E35" s="20" t="s">
        <v>232</v>
      </c>
      <c r="F35" s="20" t="s">
        <v>206</v>
      </c>
      <c r="G35" s="20"/>
      <c r="H35" s="20">
        <v>21</v>
      </c>
      <c r="I35" s="20" t="s">
        <v>102</v>
      </c>
      <c r="J35" s="20" t="s">
        <v>213</v>
      </c>
      <c r="K35" s="20" t="s">
        <v>75</v>
      </c>
      <c r="L35" s="20" t="s">
        <v>177</v>
      </c>
      <c r="M35" s="20" t="s">
        <v>239</v>
      </c>
      <c r="N35" s="22" t="s">
        <v>284</v>
      </c>
      <c r="O35" s="20" t="s">
        <v>210</v>
      </c>
    </row>
    <row r="36" spans="1:15" ht="15" customHeight="1" x14ac:dyDescent="0.25">
      <c r="A36" s="17">
        <v>33</v>
      </c>
      <c r="B36" s="18" t="s">
        <v>80</v>
      </c>
      <c r="C36" s="17" t="s">
        <v>121</v>
      </c>
      <c r="D36" s="17" t="s">
        <v>285</v>
      </c>
      <c r="E36" s="17" t="s">
        <v>286</v>
      </c>
      <c r="F36" s="17" t="s">
        <v>287</v>
      </c>
      <c r="G36" s="17"/>
      <c r="H36" s="17">
        <v>14</v>
      </c>
      <c r="I36" s="17" t="s">
        <v>76</v>
      </c>
      <c r="J36" s="17" t="s">
        <v>223</v>
      </c>
      <c r="K36" s="17" t="s">
        <v>154</v>
      </c>
      <c r="L36" s="17" t="s">
        <v>170</v>
      </c>
      <c r="M36" s="17" t="s">
        <v>200</v>
      </c>
      <c r="N36" s="19" t="s">
        <v>288</v>
      </c>
      <c r="O36" s="17" t="s">
        <v>172</v>
      </c>
    </row>
    <row r="37" spans="1:15" ht="15" customHeight="1" x14ac:dyDescent="0.25">
      <c r="A37" s="20">
        <v>34</v>
      </c>
      <c r="B37" s="21" t="s">
        <v>84</v>
      </c>
      <c r="C37" s="20" t="s">
        <v>165</v>
      </c>
      <c r="D37" s="20" t="s">
        <v>245</v>
      </c>
      <c r="E37" s="20" t="s">
        <v>150</v>
      </c>
      <c r="F37" s="20" t="s">
        <v>289</v>
      </c>
      <c r="G37" s="20"/>
      <c r="H37" s="20">
        <v>12</v>
      </c>
      <c r="I37" s="20" t="s">
        <v>76</v>
      </c>
      <c r="J37" s="20" t="s">
        <v>136</v>
      </c>
      <c r="K37" s="20" t="s">
        <v>154</v>
      </c>
      <c r="L37" s="20" t="s">
        <v>155</v>
      </c>
      <c r="M37" s="20" t="s">
        <v>156</v>
      </c>
      <c r="N37" s="22" t="s">
        <v>290</v>
      </c>
      <c r="O37" s="20" t="s">
        <v>130</v>
      </c>
    </row>
    <row r="38" spans="1:15" ht="15" customHeight="1" x14ac:dyDescent="0.25">
      <c r="A38" s="17">
        <v>35</v>
      </c>
      <c r="B38" s="18" t="s">
        <v>88</v>
      </c>
      <c r="C38" s="17" t="s">
        <v>197</v>
      </c>
      <c r="D38" s="17" t="s">
        <v>149</v>
      </c>
      <c r="E38" s="17" t="s">
        <v>159</v>
      </c>
      <c r="F38" s="17" t="s">
        <v>291</v>
      </c>
      <c r="G38" s="17"/>
      <c r="H38" s="17">
        <v>21</v>
      </c>
      <c r="I38" s="17" t="s">
        <v>176</v>
      </c>
      <c r="J38" s="17" t="s">
        <v>261</v>
      </c>
      <c r="K38" s="17" t="s">
        <v>83</v>
      </c>
      <c r="L38" s="17" t="s">
        <v>155</v>
      </c>
      <c r="M38" s="17" t="s">
        <v>213</v>
      </c>
      <c r="N38" s="19" t="s">
        <v>292</v>
      </c>
      <c r="O38" s="17" t="s">
        <v>130</v>
      </c>
    </row>
    <row r="39" spans="1:15" ht="15" customHeight="1" x14ac:dyDescent="0.25">
      <c r="A39" s="20">
        <v>36</v>
      </c>
      <c r="B39" s="21" t="s">
        <v>91</v>
      </c>
      <c r="C39" s="20" t="s">
        <v>148</v>
      </c>
      <c r="D39" s="20" t="s">
        <v>248</v>
      </c>
      <c r="E39" s="20" t="s">
        <v>123</v>
      </c>
      <c r="F39" s="20" t="s">
        <v>293</v>
      </c>
      <c r="G39" s="20"/>
      <c r="H39" s="20">
        <v>21</v>
      </c>
      <c r="I39" s="20" t="s">
        <v>135</v>
      </c>
      <c r="J39" s="20" t="s">
        <v>294</v>
      </c>
      <c r="K39" s="20" t="s">
        <v>195</v>
      </c>
      <c r="L39" s="20" t="s">
        <v>170</v>
      </c>
      <c r="M39" s="20" t="s">
        <v>213</v>
      </c>
      <c r="N39" s="22" t="s">
        <v>295</v>
      </c>
      <c r="O39" s="20" t="s">
        <v>274</v>
      </c>
    </row>
    <row r="40" spans="1:15" ht="15" customHeight="1" x14ac:dyDescent="0.25">
      <c r="A40" s="17">
        <v>37</v>
      </c>
      <c r="B40" s="18" t="s">
        <v>95</v>
      </c>
      <c r="C40" s="17" t="s">
        <v>230</v>
      </c>
      <c r="D40" s="17" t="s">
        <v>252</v>
      </c>
      <c r="E40" s="17" t="s">
        <v>133</v>
      </c>
      <c r="F40" s="17" t="s">
        <v>296</v>
      </c>
      <c r="G40" s="17"/>
      <c r="H40" s="17">
        <v>14</v>
      </c>
      <c r="I40" s="17" t="s">
        <v>152</v>
      </c>
      <c r="J40" s="17" t="s">
        <v>219</v>
      </c>
      <c r="K40" s="17" t="s">
        <v>83</v>
      </c>
      <c r="L40" s="17" t="s">
        <v>170</v>
      </c>
      <c r="M40" s="17" t="s">
        <v>156</v>
      </c>
      <c r="N40" s="19" t="s">
        <v>297</v>
      </c>
      <c r="O40" s="17" t="s">
        <v>172</v>
      </c>
    </row>
    <row r="41" spans="1:15" ht="15" customHeight="1" x14ac:dyDescent="0.25">
      <c r="A41" s="20">
        <v>38</v>
      </c>
      <c r="B41" s="21" t="s">
        <v>99</v>
      </c>
      <c r="C41" s="20" t="s">
        <v>189</v>
      </c>
      <c r="D41" s="20" t="s">
        <v>298</v>
      </c>
      <c r="E41" s="20" t="s">
        <v>141</v>
      </c>
      <c r="F41" s="20" t="s">
        <v>299</v>
      </c>
      <c r="G41" s="20"/>
      <c r="H41" s="20">
        <v>7</v>
      </c>
      <c r="I41" s="20" t="s">
        <v>176</v>
      </c>
      <c r="J41" s="20" t="s">
        <v>184</v>
      </c>
      <c r="K41" s="20" t="s">
        <v>185</v>
      </c>
      <c r="L41" s="20" t="s">
        <v>127</v>
      </c>
      <c r="M41" s="20" t="s">
        <v>224</v>
      </c>
      <c r="N41" s="22" t="s">
        <v>300</v>
      </c>
      <c r="O41" s="20" t="s">
        <v>301</v>
      </c>
    </row>
    <row r="42" spans="1:15" ht="15" customHeight="1" x14ac:dyDescent="0.25">
      <c r="A42" s="17">
        <v>39</v>
      </c>
      <c r="B42" s="18" t="s">
        <v>103</v>
      </c>
      <c r="C42" s="17" t="s">
        <v>197</v>
      </c>
      <c r="D42" s="17" t="s">
        <v>302</v>
      </c>
      <c r="E42" s="17" t="s">
        <v>150</v>
      </c>
      <c r="F42" s="17" t="s">
        <v>303</v>
      </c>
      <c r="G42" s="17"/>
      <c r="H42" s="17">
        <v>12</v>
      </c>
      <c r="I42" s="17" t="s">
        <v>102</v>
      </c>
      <c r="J42" s="17" t="s">
        <v>304</v>
      </c>
      <c r="K42" s="17" t="s">
        <v>185</v>
      </c>
      <c r="L42" s="17" t="s">
        <v>170</v>
      </c>
      <c r="M42" s="17" t="s">
        <v>178</v>
      </c>
      <c r="N42" s="19" t="s">
        <v>305</v>
      </c>
      <c r="O42" s="17" t="s">
        <v>130</v>
      </c>
    </row>
    <row r="43" spans="1:15" ht="15" customHeight="1" x14ac:dyDescent="0.25">
      <c r="A43" s="20">
        <v>40</v>
      </c>
      <c r="B43" s="21" t="s">
        <v>106</v>
      </c>
      <c r="C43" s="20" t="s">
        <v>203</v>
      </c>
      <c r="D43" s="20" t="s">
        <v>173</v>
      </c>
      <c r="E43" s="20" t="s">
        <v>159</v>
      </c>
      <c r="F43" s="20" t="s">
        <v>306</v>
      </c>
      <c r="G43" s="20"/>
      <c r="H43" s="20">
        <v>21</v>
      </c>
      <c r="I43" s="20" t="s">
        <v>278</v>
      </c>
      <c r="J43" s="20" t="s">
        <v>144</v>
      </c>
      <c r="K43" s="20" t="s">
        <v>214</v>
      </c>
      <c r="L43" s="20" t="s">
        <v>138</v>
      </c>
      <c r="M43" s="20" t="s">
        <v>156</v>
      </c>
      <c r="N43" s="22" t="s">
        <v>307</v>
      </c>
      <c r="O43" s="20" t="s">
        <v>172</v>
      </c>
    </row>
    <row r="44" spans="1:15" ht="15" customHeight="1" x14ac:dyDescent="0.25">
      <c r="A44" s="17">
        <v>41</v>
      </c>
      <c r="B44" s="18" t="s">
        <v>71</v>
      </c>
      <c r="C44" s="17" t="s">
        <v>230</v>
      </c>
      <c r="D44" s="17" t="s">
        <v>308</v>
      </c>
      <c r="E44" s="17" t="s">
        <v>123</v>
      </c>
      <c r="F44" s="17" t="s">
        <v>309</v>
      </c>
      <c r="G44" s="17"/>
      <c r="H44" s="17">
        <v>7</v>
      </c>
      <c r="I44" s="17" t="s">
        <v>143</v>
      </c>
      <c r="J44" s="17" t="s">
        <v>310</v>
      </c>
      <c r="K44" s="17" t="s">
        <v>154</v>
      </c>
      <c r="L44" s="17" t="s">
        <v>155</v>
      </c>
      <c r="M44" s="17" t="s">
        <v>213</v>
      </c>
      <c r="N44" s="19" t="s">
        <v>311</v>
      </c>
      <c r="O44" s="17" t="s">
        <v>130</v>
      </c>
    </row>
    <row r="45" spans="1:15" ht="15" customHeight="1" x14ac:dyDescent="0.25">
      <c r="A45" s="20">
        <v>42</v>
      </c>
      <c r="B45" s="21" t="s">
        <v>77</v>
      </c>
      <c r="C45" s="20" t="s">
        <v>131</v>
      </c>
      <c r="D45" s="20" t="s">
        <v>204</v>
      </c>
      <c r="E45" s="20" t="s">
        <v>232</v>
      </c>
      <c r="F45" s="20" t="s">
        <v>312</v>
      </c>
      <c r="G45" s="20"/>
      <c r="H45" s="20">
        <v>7</v>
      </c>
      <c r="I45" s="20" t="s">
        <v>152</v>
      </c>
      <c r="J45" s="20" t="s">
        <v>199</v>
      </c>
      <c r="K45" s="20" t="s">
        <v>137</v>
      </c>
      <c r="L45" s="20" t="s">
        <v>162</v>
      </c>
      <c r="M45" s="20" t="s">
        <v>156</v>
      </c>
      <c r="N45" s="22" t="s">
        <v>313</v>
      </c>
      <c r="O45" s="20" t="s">
        <v>301</v>
      </c>
    </row>
    <row r="46" spans="1:15" ht="15" customHeight="1" x14ac:dyDescent="0.25">
      <c r="A46" s="17">
        <v>43</v>
      </c>
      <c r="B46" s="18" t="s">
        <v>80</v>
      </c>
      <c r="C46" s="17" t="s">
        <v>197</v>
      </c>
      <c r="D46" s="17" t="s">
        <v>314</v>
      </c>
      <c r="E46" s="17" t="s">
        <v>174</v>
      </c>
      <c r="F46" s="17" t="s">
        <v>315</v>
      </c>
      <c r="G46" s="17"/>
      <c r="H46" s="17">
        <v>10</v>
      </c>
      <c r="I46" s="17" t="s">
        <v>278</v>
      </c>
      <c r="J46" s="17" t="s">
        <v>316</v>
      </c>
      <c r="K46" s="17" t="s">
        <v>83</v>
      </c>
      <c r="L46" s="17" t="s">
        <v>127</v>
      </c>
      <c r="M46" s="17" t="s">
        <v>128</v>
      </c>
      <c r="N46" s="19" t="s">
        <v>317</v>
      </c>
      <c r="O46" s="17" t="s">
        <v>130</v>
      </c>
    </row>
    <row r="47" spans="1:15" ht="15" customHeight="1" x14ac:dyDescent="0.25">
      <c r="A47" s="20">
        <v>44</v>
      </c>
      <c r="B47" s="21" t="s">
        <v>84</v>
      </c>
      <c r="C47" s="20" t="s">
        <v>203</v>
      </c>
      <c r="D47" s="20" t="s">
        <v>318</v>
      </c>
      <c r="E47" s="20" t="s">
        <v>319</v>
      </c>
      <c r="F47" s="20" t="s">
        <v>320</v>
      </c>
      <c r="G47" s="20"/>
      <c r="H47" s="20">
        <v>14</v>
      </c>
      <c r="I47" s="20" t="s">
        <v>135</v>
      </c>
      <c r="J47" s="20" t="s">
        <v>153</v>
      </c>
      <c r="K47" s="20" t="s">
        <v>137</v>
      </c>
      <c r="L47" s="20" t="s">
        <v>177</v>
      </c>
      <c r="M47" s="20" t="s">
        <v>163</v>
      </c>
      <c r="N47" s="22" t="s">
        <v>321</v>
      </c>
      <c r="O47" s="20" t="s">
        <v>216</v>
      </c>
    </row>
    <row r="48" spans="1:15" ht="15" customHeight="1" x14ac:dyDescent="0.25">
      <c r="A48" s="17">
        <v>45</v>
      </c>
      <c r="B48" s="18" t="s">
        <v>88</v>
      </c>
      <c r="C48" s="17" t="s">
        <v>121</v>
      </c>
      <c r="D48" s="17" t="s">
        <v>231</v>
      </c>
      <c r="E48" s="17" t="s">
        <v>191</v>
      </c>
      <c r="F48" s="17" t="s">
        <v>322</v>
      </c>
      <c r="G48" s="17"/>
      <c r="H48" s="17">
        <v>21</v>
      </c>
      <c r="I48" s="17" t="s">
        <v>218</v>
      </c>
      <c r="J48" s="17" t="s">
        <v>272</v>
      </c>
      <c r="K48" s="17" t="s">
        <v>126</v>
      </c>
      <c r="L48" s="17" t="s">
        <v>138</v>
      </c>
      <c r="M48" s="17" t="s">
        <v>224</v>
      </c>
      <c r="N48" s="19" t="s">
        <v>323</v>
      </c>
      <c r="O48" s="17" t="s">
        <v>188</v>
      </c>
    </row>
    <row r="49" spans="1:15" ht="15" customHeight="1" x14ac:dyDescent="0.25">
      <c r="A49" s="20">
        <v>46</v>
      </c>
      <c r="B49" s="21" t="s">
        <v>91</v>
      </c>
      <c r="C49" s="20" t="s">
        <v>87</v>
      </c>
      <c r="D49" s="20" t="s">
        <v>236</v>
      </c>
      <c r="E49" s="20" t="s">
        <v>123</v>
      </c>
      <c r="F49" s="20" t="s">
        <v>324</v>
      </c>
      <c r="G49" s="20"/>
      <c r="H49" s="20">
        <v>28</v>
      </c>
      <c r="I49" s="20" t="s">
        <v>143</v>
      </c>
      <c r="J49" s="20" t="s">
        <v>223</v>
      </c>
      <c r="K49" s="20" t="s">
        <v>137</v>
      </c>
      <c r="L49" s="20" t="s">
        <v>155</v>
      </c>
      <c r="M49" s="20" t="s">
        <v>239</v>
      </c>
      <c r="N49" s="22" t="s">
        <v>325</v>
      </c>
      <c r="O49" s="20" t="s">
        <v>301</v>
      </c>
    </row>
    <row r="50" spans="1:15" ht="15" customHeight="1" x14ac:dyDescent="0.25">
      <c r="A50" s="17">
        <v>47</v>
      </c>
      <c r="B50" s="18" t="s">
        <v>95</v>
      </c>
      <c r="C50" s="17" t="s">
        <v>197</v>
      </c>
      <c r="D50" s="17" t="s">
        <v>221</v>
      </c>
      <c r="E50" s="17" t="s">
        <v>205</v>
      </c>
      <c r="F50" s="17" t="s">
        <v>142</v>
      </c>
      <c r="G50" s="17"/>
      <c r="H50" s="17">
        <v>10</v>
      </c>
      <c r="I50" s="17" t="s">
        <v>152</v>
      </c>
      <c r="J50" s="17" t="s">
        <v>136</v>
      </c>
      <c r="K50" s="17" t="s">
        <v>195</v>
      </c>
      <c r="L50" s="17" t="s">
        <v>170</v>
      </c>
      <c r="M50" s="17" t="s">
        <v>163</v>
      </c>
      <c r="N50" s="19" t="s">
        <v>326</v>
      </c>
      <c r="O50" s="17" t="s">
        <v>172</v>
      </c>
    </row>
    <row r="51" spans="1:15" ht="15" customHeight="1" x14ac:dyDescent="0.25">
      <c r="A51" s="20">
        <v>48</v>
      </c>
      <c r="B51" s="21" t="s">
        <v>99</v>
      </c>
      <c r="C51" s="20" t="s">
        <v>203</v>
      </c>
      <c r="D51" s="20" t="s">
        <v>140</v>
      </c>
      <c r="E51" s="20" t="s">
        <v>286</v>
      </c>
      <c r="F51" s="20" t="s">
        <v>327</v>
      </c>
      <c r="G51" s="20"/>
      <c r="H51" s="20">
        <v>14</v>
      </c>
      <c r="I51" s="20" t="s">
        <v>18</v>
      </c>
      <c r="J51" s="20" t="s">
        <v>169</v>
      </c>
      <c r="K51" s="20" t="s">
        <v>195</v>
      </c>
      <c r="L51" s="20" t="s">
        <v>186</v>
      </c>
      <c r="M51" s="20" t="s">
        <v>156</v>
      </c>
      <c r="N51" s="22" t="s">
        <v>328</v>
      </c>
      <c r="O51" s="20" t="s">
        <v>202</v>
      </c>
    </row>
    <row r="52" spans="1:15" ht="15" customHeight="1" x14ac:dyDescent="0.25">
      <c r="A52" s="17">
        <v>49</v>
      </c>
      <c r="B52" s="18" t="s">
        <v>103</v>
      </c>
      <c r="C52" s="17" t="s">
        <v>121</v>
      </c>
      <c r="D52" s="17" t="s">
        <v>329</v>
      </c>
      <c r="E52" s="17" t="s">
        <v>150</v>
      </c>
      <c r="F52" s="17" t="s">
        <v>330</v>
      </c>
      <c r="G52" s="17"/>
      <c r="H52" s="17">
        <v>10</v>
      </c>
      <c r="I52" s="17" t="s">
        <v>18</v>
      </c>
      <c r="J52" s="17" t="s">
        <v>223</v>
      </c>
      <c r="K52" s="17" t="s">
        <v>214</v>
      </c>
      <c r="L52" s="17" t="s">
        <v>162</v>
      </c>
      <c r="M52" s="17" t="s">
        <v>200</v>
      </c>
      <c r="N52" s="19" t="s">
        <v>331</v>
      </c>
      <c r="O52" s="17" t="s">
        <v>172</v>
      </c>
    </row>
    <row r="53" spans="1:15" ht="15" customHeight="1" x14ac:dyDescent="0.25">
      <c r="A53" s="20">
        <v>50</v>
      </c>
      <c r="B53" s="21" t="s">
        <v>106</v>
      </c>
      <c r="C53" s="20" t="s">
        <v>165</v>
      </c>
      <c r="D53" s="20" t="s">
        <v>332</v>
      </c>
      <c r="E53" s="20" t="s">
        <v>159</v>
      </c>
      <c r="F53" s="20" t="s">
        <v>309</v>
      </c>
      <c r="G53" s="20"/>
      <c r="H53" s="20">
        <v>14</v>
      </c>
      <c r="I53" s="20" t="s">
        <v>207</v>
      </c>
      <c r="J53" s="20" t="s">
        <v>194</v>
      </c>
      <c r="K53" s="20" t="s">
        <v>145</v>
      </c>
      <c r="L53" s="20" t="s">
        <v>155</v>
      </c>
      <c r="M53" s="20" t="s">
        <v>213</v>
      </c>
      <c r="N53" s="22" t="s">
        <v>333</v>
      </c>
      <c r="O53" s="20" t="s">
        <v>301</v>
      </c>
    </row>
    <row r="54" spans="1:15" ht="15" customHeight="1" x14ac:dyDescent="0.25">
      <c r="A54" s="17">
        <v>51</v>
      </c>
      <c r="B54" s="18" t="s">
        <v>71</v>
      </c>
      <c r="C54" s="17" t="s">
        <v>241</v>
      </c>
      <c r="D54" s="17" t="s">
        <v>158</v>
      </c>
      <c r="E54" s="17" t="s">
        <v>249</v>
      </c>
      <c r="F54" s="17" t="s">
        <v>334</v>
      </c>
      <c r="G54" s="17"/>
      <c r="H54" s="17">
        <v>7</v>
      </c>
      <c r="I54" s="17" t="s">
        <v>335</v>
      </c>
      <c r="J54" s="17" t="s">
        <v>125</v>
      </c>
      <c r="K54" s="17" t="s">
        <v>75</v>
      </c>
      <c r="L54" s="17" t="s">
        <v>127</v>
      </c>
      <c r="M54" s="17" t="s">
        <v>146</v>
      </c>
      <c r="N54" s="19" t="s">
        <v>336</v>
      </c>
      <c r="O54" s="17" t="s">
        <v>216</v>
      </c>
    </row>
    <row r="55" spans="1:15" ht="15" customHeight="1" x14ac:dyDescent="0.25">
      <c r="A55" s="20">
        <v>52</v>
      </c>
      <c r="B55" s="21" t="s">
        <v>77</v>
      </c>
      <c r="C55" s="20" t="s">
        <v>148</v>
      </c>
      <c r="D55" s="20" t="s">
        <v>337</v>
      </c>
      <c r="E55" s="20" t="s">
        <v>205</v>
      </c>
      <c r="F55" s="20" t="s">
        <v>315</v>
      </c>
      <c r="G55" s="20"/>
      <c r="H55" s="20">
        <v>12</v>
      </c>
      <c r="I55" s="20" t="s">
        <v>335</v>
      </c>
      <c r="J55" s="20" t="s">
        <v>208</v>
      </c>
      <c r="K55" s="20" t="s">
        <v>214</v>
      </c>
      <c r="L55" s="20" t="s">
        <v>138</v>
      </c>
      <c r="M55" s="20" t="s">
        <v>163</v>
      </c>
      <c r="N55" s="22" t="s">
        <v>338</v>
      </c>
      <c r="O55" s="20" t="s">
        <v>130</v>
      </c>
    </row>
    <row r="56" spans="1:15" ht="15" customHeight="1" x14ac:dyDescent="0.25">
      <c r="A56" s="17">
        <v>53</v>
      </c>
      <c r="B56" s="18" t="s">
        <v>80</v>
      </c>
      <c r="C56" s="17" t="s">
        <v>121</v>
      </c>
      <c r="D56" s="17" t="s">
        <v>339</v>
      </c>
      <c r="E56" s="17" t="s">
        <v>286</v>
      </c>
      <c r="F56" s="17" t="s">
        <v>340</v>
      </c>
      <c r="G56" s="17"/>
      <c r="H56" s="17">
        <v>14</v>
      </c>
      <c r="I56" s="17" t="s">
        <v>193</v>
      </c>
      <c r="J56" s="17" t="s">
        <v>261</v>
      </c>
      <c r="K56" s="17" t="s">
        <v>185</v>
      </c>
      <c r="L56" s="17" t="s">
        <v>155</v>
      </c>
      <c r="M56" s="17" t="s">
        <v>213</v>
      </c>
      <c r="N56" s="19" t="s">
        <v>341</v>
      </c>
      <c r="O56" s="17" t="s">
        <v>130</v>
      </c>
    </row>
    <row r="57" spans="1:15" ht="15" customHeight="1" x14ac:dyDescent="0.25">
      <c r="A57" s="20">
        <v>54</v>
      </c>
      <c r="B57" s="21" t="s">
        <v>84</v>
      </c>
      <c r="C57" s="20" t="s">
        <v>87</v>
      </c>
      <c r="D57" s="20" t="s">
        <v>298</v>
      </c>
      <c r="E57" s="20" t="s">
        <v>319</v>
      </c>
      <c r="F57" s="20" t="s">
        <v>342</v>
      </c>
      <c r="G57" s="20"/>
      <c r="H57" s="20">
        <v>28</v>
      </c>
      <c r="I57" s="20" t="s">
        <v>102</v>
      </c>
      <c r="J57" s="20" t="s">
        <v>343</v>
      </c>
      <c r="K57" s="20" t="s">
        <v>154</v>
      </c>
      <c r="L57" s="20" t="s">
        <v>127</v>
      </c>
      <c r="M57" s="20" t="s">
        <v>163</v>
      </c>
      <c r="N57" s="22" t="s">
        <v>344</v>
      </c>
      <c r="O57" s="20" t="s">
        <v>235</v>
      </c>
    </row>
    <row r="58" spans="1:15" ht="15" customHeight="1" x14ac:dyDescent="0.25">
      <c r="A58" s="17">
        <v>55</v>
      </c>
      <c r="B58" s="18" t="s">
        <v>88</v>
      </c>
      <c r="C58" s="17" t="s">
        <v>267</v>
      </c>
      <c r="D58" s="17" t="s">
        <v>263</v>
      </c>
      <c r="E58" s="17" t="s">
        <v>191</v>
      </c>
      <c r="F58" s="17" t="s">
        <v>345</v>
      </c>
      <c r="G58" s="17"/>
      <c r="H58" s="17">
        <v>14</v>
      </c>
      <c r="I58" s="17" t="s">
        <v>218</v>
      </c>
      <c r="J58" s="17" t="s">
        <v>272</v>
      </c>
      <c r="K58" s="17" t="s">
        <v>185</v>
      </c>
      <c r="L58" s="17" t="s">
        <v>155</v>
      </c>
      <c r="M58" s="17" t="s">
        <v>178</v>
      </c>
      <c r="N58" s="19" t="s">
        <v>346</v>
      </c>
      <c r="O58" s="17" t="s">
        <v>235</v>
      </c>
    </row>
    <row r="59" spans="1:15" ht="15" customHeight="1" x14ac:dyDescent="0.25">
      <c r="A59" s="20">
        <v>56</v>
      </c>
      <c r="B59" s="21" t="s">
        <v>91</v>
      </c>
      <c r="C59" s="20" t="s">
        <v>148</v>
      </c>
      <c r="D59" s="20" t="s">
        <v>302</v>
      </c>
      <c r="E59" s="20" t="s">
        <v>167</v>
      </c>
      <c r="F59" s="20" t="s">
        <v>309</v>
      </c>
      <c r="G59" s="20"/>
      <c r="H59" s="20">
        <v>7</v>
      </c>
      <c r="I59" s="20" t="s">
        <v>76</v>
      </c>
      <c r="J59" s="20" t="s">
        <v>219</v>
      </c>
      <c r="K59" s="20" t="s">
        <v>83</v>
      </c>
      <c r="L59" s="20" t="s">
        <v>138</v>
      </c>
      <c r="M59" s="20" t="s">
        <v>178</v>
      </c>
      <c r="N59" s="22" t="s">
        <v>347</v>
      </c>
      <c r="O59" s="20" t="s">
        <v>226</v>
      </c>
    </row>
    <row r="60" spans="1:15" ht="15" customHeight="1" x14ac:dyDescent="0.25">
      <c r="A60" s="17">
        <v>57</v>
      </c>
      <c r="B60" s="18" t="s">
        <v>95</v>
      </c>
      <c r="C60" s="17" t="s">
        <v>74</v>
      </c>
      <c r="D60" s="17" t="s">
        <v>348</v>
      </c>
      <c r="E60" s="17" t="s">
        <v>133</v>
      </c>
      <c r="F60" s="17" t="s">
        <v>349</v>
      </c>
      <c r="G60" s="17"/>
      <c r="H60" s="17">
        <v>12</v>
      </c>
      <c r="I60" s="17" t="s">
        <v>143</v>
      </c>
      <c r="J60" s="17" t="s">
        <v>169</v>
      </c>
      <c r="K60" s="17" t="s">
        <v>75</v>
      </c>
      <c r="L60" s="17" t="s">
        <v>138</v>
      </c>
      <c r="M60" s="17" t="s">
        <v>163</v>
      </c>
      <c r="N60" s="19" t="s">
        <v>350</v>
      </c>
      <c r="O60" s="17" t="s">
        <v>130</v>
      </c>
    </row>
    <row r="61" spans="1:15" ht="15" customHeight="1" x14ac:dyDescent="0.25">
      <c r="A61" s="20">
        <v>58</v>
      </c>
      <c r="B61" s="21" t="s">
        <v>99</v>
      </c>
      <c r="C61" s="20" t="s">
        <v>87</v>
      </c>
      <c r="D61" s="20" t="s">
        <v>204</v>
      </c>
      <c r="E61" s="20" t="s">
        <v>174</v>
      </c>
      <c r="F61" s="20" t="s">
        <v>351</v>
      </c>
      <c r="G61" s="20"/>
      <c r="H61" s="20">
        <v>14</v>
      </c>
      <c r="I61" s="20" t="s">
        <v>102</v>
      </c>
      <c r="J61" s="20" t="s">
        <v>153</v>
      </c>
      <c r="K61" s="20" t="s">
        <v>154</v>
      </c>
      <c r="L61" s="20" t="s">
        <v>138</v>
      </c>
      <c r="M61" s="20" t="s">
        <v>200</v>
      </c>
      <c r="N61" s="22" t="s">
        <v>352</v>
      </c>
      <c r="O61" s="20" t="s">
        <v>210</v>
      </c>
    </row>
    <row r="62" spans="1:15" ht="15" customHeight="1" x14ac:dyDescent="0.25">
      <c r="A62" s="17">
        <v>59</v>
      </c>
      <c r="B62" s="18" t="s">
        <v>103</v>
      </c>
      <c r="C62" s="17" t="s">
        <v>197</v>
      </c>
      <c r="D62" s="17" t="s">
        <v>190</v>
      </c>
      <c r="E62" s="17" t="s">
        <v>182</v>
      </c>
      <c r="F62" s="17" t="s">
        <v>324</v>
      </c>
      <c r="G62" s="17"/>
      <c r="H62" s="17">
        <v>12</v>
      </c>
      <c r="I62" s="17" t="s">
        <v>176</v>
      </c>
      <c r="J62" s="17" t="s">
        <v>343</v>
      </c>
      <c r="K62" s="17" t="s">
        <v>126</v>
      </c>
      <c r="L62" s="17" t="s">
        <v>155</v>
      </c>
      <c r="M62" s="17" t="s">
        <v>200</v>
      </c>
      <c r="N62" s="19" t="s">
        <v>353</v>
      </c>
      <c r="O62" s="17" t="s">
        <v>301</v>
      </c>
    </row>
    <row r="63" spans="1:15" ht="15" customHeight="1" x14ac:dyDescent="0.25">
      <c r="A63" s="20">
        <v>60</v>
      </c>
      <c r="B63" s="21" t="s">
        <v>106</v>
      </c>
      <c r="C63" s="20" t="s">
        <v>270</v>
      </c>
      <c r="D63" s="20" t="s">
        <v>354</v>
      </c>
      <c r="E63" s="20" t="s">
        <v>159</v>
      </c>
      <c r="F63" s="20" t="s">
        <v>291</v>
      </c>
      <c r="G63" s="20"/>
      <c r="H63" s="20">
        <v>7</v>
      </c>
      <c r="I63" s="20" t="s">
        <v>143</v>
      </c>
      <c r="J63" s="20" t="s">
        <v>265</v>
      </c>
      <c r="K63" s="20" t="s">
        <v>75</v>
      </c>
      <c r="L63" s="20" t="s">
        <v>186</v>
      </c>
      <c r="M63" s="20" t="s">
        <v>146</v>
      </c>
      <c r="N63" s="22" t="s">
        <v>355</v>
      </c>
      <c r="O63" s="20" t="s">
        <v>226</v>
      </c>
    </row>
    <row r="64" spans="1:15" ht="15" customHeight="1" x14ac:dyDescent="0.25">
      <c r="A64" s="17">
        <v>61</v>
      </c>
      <c r="B64" s="18" t="s">
        <v>71</v>
      </c>
      <c r="C64" s="17" t="s">
        <v>121</v>
      </c>
      <c r="D64" s="17" t="s">
        <v>140</v>
      </c>
      <c r="E64" s="17" t="s">
        <v>123</v>
      </c>
      <c r="F64" s="17" t="s">
        <v>356</v>
      </c>
      <c r="G64" s="17"/>
      <c r="H64" s="17">
        <v>12</v>
      </c>
      <c r="I64" s="17" t="s">
        <v>76</v>
      </c>
      <c r="J64" s="17" t="s">
        <v>125</v>
      </c>
      <c r="K64" s="17" t="s">
        <v>255</v>
      </c>
      <c r="L64" s="17" t="s">
        <v>155</v>
      </c>
      <c r="M64" s="17" t="s">
        <v>213</v>
      </c>
      <c r="N64" s="19" t="s">
        <v>357</v>
      </c>
      <c r="O64" s="17" t="s">
        <v>235</v>
      </c>
    </row>
    <row r="65" spans="1:15" ht="15" customHeight="1" x14ac:dyDescent="0.25">
      <c r="A65" s="20">
        <v>62</v>
      </c>
      <c r="B65" s="21" t="s">
        <v>77</v>
      </c>
      <c r="C65" s="20" t="s">
        <v>131</v>
      </c>
      <c r="D65" s="20" t="s">
        <v>358</v>
      </c>
      <c r="E65" s="20" t="s">
        <v>133</v>
      </c>
      <c r="F65" s="20" t="s">
        <v>359</v>
      </c>
      <c r="G65" s="20"/>
      <c r="H65" s="20">
        <v>7</v>
      </c>
      <c r="I65" s="20" t="s">
        <v>152</v>
      </c>
      <c r="J65" s="20" t="s">
        <v>194</v>
      </c>
      <c r="K65" s="20" t="s">
        <v>83</v>
      </c>
      <c r="L65" s="20" t="s">
        <v>127</v>
      </c>
      <c r="M65" s="20" t="s">
        <v>200</v>
      </c>
      <c r="N65" s="22" t="s">
        <v>360</v>
      </c>
      <c r="O65" s="20" t="s">
        <v>216</v>
      </c>
    </row>
    <row r="66" spans="1:15" ht="15" customHeight="1" x14ac:dyDescent="0.25">
      <c r="A66" s="17">
        <v>63</v>
      </c>
      <c r="B66" s="18" t="s">
        <v>80</v>
      </c>
      <c r="C66" s="17" t="s">
        <v>267</v>
      </c>
      <c r="D66" s="17" t="s">
        <v>236</v>
      </c>
      <c r="E66" s="17" t="s">
        <v>286</v>
      </c>
      <c r="F66" s="17" t="s">
        <v>361</v>
      </c>
      <c r="G66" s="17"/>
      <c r="H66" s="17">
        <v>10</v>
      </c>
      <c r="I66" s="17" t="s">
        <v>176</v>
      </c>
      <c r="J66" s="17" t="s">
        <v>304</v>
      </c>
      <c r="K66" s="17" t="s">
        <v>145</v>
      </c>
      <c r="L66" s="17" t="s">
        <v>162</v>
      </c>
      <c r="M66" s="17" t="s">
        <v>163</v>
      </c>
      <c r="N66" s="19" t="s">
        <v>362</v>
      </c>
      <c r="O66" s="17" t="s">
        <v>216</v>
      </c>
    </row>
    <row r="67" spans="1:15" ht="15" customHeight="1" x14ac:dyDescent="0.25">
      <c r="A67" s="20">
        <v>64</v>
      </c>
      <c r="B67" s="21" t="s">
        <v>84</v>
      </c>
      <c r="C67" s="20" t="s">
        <v>109</v>
      </c>
      <c r="D67" s="20" t="s">
        <v>236</v>
      </c>
      <c r="E67" s="20" t="s">
        <v>319</v>
      </c>
      <c r="F67" s="20" t="s">
        <v>228</v>
      </c>
      <c r="G67" s="20"/>
      <c r="H67" s="20">
        <v>14</v>
      </c>
      <c r="I67" s="20" t="s">
        <v>18</v>
      </c>
      <c r="J67" s="20" t="s">
        <v>363</v>
      </c>
      <c r="K67" s="20" t="s">
        <v>83</v>
      </c>
      <c r="L67" s="20" t="s">
        <v>155</v>
      </c>
      <c r="M67" s="20" t="s">
        <v>178</v>
      </c>
      <c r="N67" s="22" t="s">
        <v>364</v>
      </c>
      <c r="O67" s="20" t="s">
        <v>226</v>
      </c>
    </row>
    <row r="68" spans="1:15" ht="15" customHeight="1" x14ac:dyDescent="0.25">
      <c r="A68" s="17">
        <v>65</v>
      </c>
      <c r="B68" s="18" t="s">
        <v>88</v>
      </c>
      <c r="C68" s="17" t="s">
        <v>230</v>
      </c>
      <c r="D68" s="17" t="s">
        <v>285</v>
      </c>
      <c r="E68" s="17" t="s">
        <v>159</v>
      </c>
      <c r="F68" s="17" t="s">
        <v>365</v>
      </c>
      <c r="G68" s="17"/>
      <c r="H68" s="17">
        <v>7</v>
      </c>
      <c r="I68" s="17" t="s">
        <v>218</v>
      </c>
      <c r="J68" s="17" t="s">
        <v>199</v>
      </c>
      <c r="K68" s="17" t="s">
        <v>75</v>
      </c>
      <c r="L68" s="17" t="s">
        <v>177</v>
      </c>
      <c r="M68" s="17" t="s">
        <v>156</v>
      </c>
      <c r="N68" s="19" t="s">
        <v>366</v>
      </c>
      <c r="O68" s="17" t="s">
        <v>235</v>
      </c>
    </row>
    <row r="69" spans="1:15" ht="15" customHeight="1" x14ac:dyDescent="0.25">
      <c r="A69" s="20">
        <v>66</v>
      </c>
      <c r="B69" s="21" t="s">
        <v>91</v>
      </c>
      <c r="C69" s="20" t="s">
        <v>189</v>
      </c>
      <c r="D69" s="20" t="s">
        <v>367</v>
      </c>
      <c r="E69" s="20" t="s">
        <v>249</v>
      </c>
      <c r="F69" s="20" t="s">
        <v>368</v>
      </c>
      <c r="G69" s="20"/>
      <c r="H69" s="20">
        <v>7</v>
      </c>
      <c r="I69" s="20" t="s">
        <v>207</v>
      </c>
      <c r="J69" s="20" t="s">
        <v>310</v>
      </c>
      <c r="K69" s="20" t="s">
        <v>94</v>
      </c>
      <c r="L69" s="20" t="s">
        <v>127</v>
      </c>
      <c r="M69" s="20" t="s">
        <v>163</v>
      </c>
      <c r="N69" s="22" t="s">
        <v>369</v>
      </c>
      <c r="O69" s="20" t="s">
        <v>274</v>
      </c>
    </row>
    <row r="70" spans="1:15" ht="15" customHeight="1" x14ac:dyDescent="0.25">
      <c r="A70" s="17">
        <v>67</v>
      </c>
      <c r="B70" s="18" t="s">
        <v>95</v>
      </c>
      <c r="C70" s="17" t="s">
        <v>241</v>
      </c>
      <c r="D70" s="17" t="s">
        <v>6</v>
      </c>
      <c r="E70" s="17" t="s">
        <v>232</v>
      </c>
      <c r="F70" s="17" t="s">
        <v>370</v>
      </c>
      <c r="G70" s="17"/>
      <c r="H70" s="17">
        <v>21</v>
      </c>
      <c r="I70" s="17" t="s">
        <v>152</v>
      </c>
      <c r="J70" s="17" t="s">
        <v>304</v>
      </c>
      <c r="K70" s="17" t="s">
        <v>185</v>
      </c>
      <c r="L70" s="17" t="s">
        <v>127</v>
      </c>
      <c r="M70" s="17" t="s">
        <v>163</v>
      </c>
      <c r="N70" s="19" t="s">
        <v>371</v>
      </c>
      <c r="O70" s="17" t="s">
        <v>216</v>
      </c>
    </row>
    <row r="71" spans="1:15" ht="15" customHeight="1" x14ac:dyDescent="0.25">
      <c r="A71" s="20">
        <v>68</v>
      </c>
      <c r="B71" s="21" t="s">
        <v>99</v>
      </c>
      <c r="C71" s="20" t="s">
        <v>148</v>
      </c>
      <c r="D71" s="20" t="s">
        <v>242</v>
      </c>
      <c r="E71" s="20" t="s">
        <v>174</v>
      </c>
      <c r="F71" s="20" t="s">
        <v>372</v>
      </c>
      <c r="G71" s="20"/>
      <c r="H71" s="20">
        <v>10</v>
      </c>
      <c r="I71" s="20" t="s">
        <v>278</v>
      </c>
      <c r="J71" s="20" t="s">
        <v>373</v>
      </c>
      <c r="K71" s="20" t="s">
        <v>75</v>
      </c>
      <c r="L71" s="20" t="s">
        <v>170</v>
      </c>
      <c r="M71" s="20" t="s">
        <v>156</v>
      </c>
      <c r="N71" s="22" t="s">
        <v>374</v>
      </c>
      <c r="O71" s="20" t="s">
        <v>216</v>
      </c>
    </row>
    <row r="72" spans="1:15" ht="15" customHeight="1" x14ac:dyDescent="0.25">
      <c r="A72" s="17">
        <v>69</v>
      </c>
      <c r="B72" s="18" t="s">
        <v>103</v>
      </c>
      <c r="C72" s="17" t="s">
        <v>74</v>
      </c>
      <c r="D72" s="17" t="s">
        <v>271</v>
      </c>
      <c r="E72" s="17" t="s">
        <v>182</v>
      </c>
      <c r="F72" s="17" t="s">
        <v>375</v>
      </c>
      <c r="G72" s="17"/>
      <c r="H72" s="17">
        <v>12</v>
      </c>
      <c r="I72" s="17" t="s">
        <v>102</v>
      </c>
      <c r="J72" s="17" t="s">
        <v>125</v>
      </c>
      <c r="K72" s="17" t="s">
        <v>214</v>
      </c>
      <c r="L72" s="17" t="s">
        <v>177</v>
      </c>
      <c r="M72" s="17" t="s">
        <v>128</v>
      </c>
      <c r="N72" s="19" t="s">
        <v>376</v>
      </c>
      <c r="O72" s="17" t="s">
        <v>216</v>
      </c>
    </row>
    <row r="73" spans="1:15" ht="15" customHeight="1" x14ac:dyDescent="0.25">
      <c r="A73" s="20">
        <v>70</v>
      </c>
      <c r="B73" s="21" t="s">
        <v>106</v>
      </c>
      <c r="C73" s="20" t="s">
        <v>189</v>
      </c>
      <c r="D73" s="20" t="s">
        <v>314</v>
      </c>
      <c r="E73" s="20" t="s">
        <v>159</v>
      </c>
      <c r="F73" s="20" t="s">
        <v>377</v>
      </c>
      <c r="G73" s="20"/>
      <c r="H73" s="20">
        <v>21</v>
      </c>
      <c r="I73" s="20" t="s">
        <v>152</v>
      </c>
      <c r="J73" s="20" t="s">
        <v>144</v>
      </c>
      <c r="K73" s="20" t="s">
        <v>126</v>
      </c>
      <c r="L73" s="20" t="s">
        <v>170</v>
      </c>
      <c r="M73" s="20" t="s">
        <v>200</v>
      </c>
      <c r="N73" s="22" t="s">
        <v>378</v>
      </c>
      <c r="O73" s="20" t="s">
        <v>188</v>
      </c>
    </row>
    <row r="74" spans="1:15" ht="15" customHeight="1" x14ac:dyDescent="0.25">
      <c r="A74" s="17">
        <v>71</v>
      </c>
      <c r="B74" s="18" t="s">
        <v>71</v>
      </c>
      <c r="C74" s="17" t="s">
        <v>267</v>
      </c>
      <c r="D74" s="17" t="s">
        <v>271</v>
      </c>
      <c r="E74" s="17" t="s">
        <v>123</v>
      </c>
      <c r="F74" s="17" t="s">
        <v>260</v>
      </c>
      <c r="G74" s="17"/>
      <c r="H74" s="17">
        <v>28</v>
      </c>
      <c r="I74" s="17" t="s">
        <v>207</v>
      </c>
      <c r="J74" s="17" t="s">
        <v>223</v>
      </c>
      <c r="K74" s="17" t="s">
        <v>126</v>
      </c>
      <c r="L74" s="17" t="s">
        <v>155</v>
      </c>
      <c r="M74" s="17" t="s">
        <v>163</v>
      </c>
      <c r="N74" s="19" t="s">
        <v>379</v>
      </c>
      <c r="O74" s="17" t="s">
        <v>130</v>
      </c>
    </row>
    <row r="75" spans="1:15" ht="15" customHeight="1" x14ac:dyDescent="0.25">
      <c r="A75" s="20">
        <v>72</v>
      </c>
      <c r="B75" s="21" t="s">
        <v>77</v>
      </c>
      <c r="C75" s="20" t="s">
        <v>148</v>
      </c>
      <c r="D75" s="20" t="s">
        <v>259</v>
      </c>
      <c r="E75" s="20" t="s">
        <v>232</v>
      </c>
      <c r="F75" s="20" t="s">
        <v>380</v>
      </c>
      <c r="G75" s="20"/>
      <c r="H75" s="20">
        <v>10</v>
      </c>
      <c r="I75" s="20" t="s">
        <v>102</v>
      </c>
      <c r="J75" s="20" t="s">
        <v>363</v>
      </c>
      <c r="K75" s="20" t="s">
        <v>14</v>
      </c>
      <c r="L75" s="20" t="s">
        <v>155</v>
      </c>
      <c r="M75" s="20" t="s">
        <v>163</v>
      </c>
      <c r="N75" s="22" t="s">
        <v>381</v>
      </c>
      <c r="O75" s="20" t="s">
        <v>202</v>
      </c>
    </row>
    <row r="76" spans="1:15" ht="15" customHeight="1" x14ac:dyDescent="0.25">
      <c r="A76" s="17">
        <v>73</v>
      </c>
      <c r="B76" s="18" t="s">
        <v>80</v>
      </c>
      <c r="C76" s="17" t="s">
        <v>121</v>
      </c>
      <c r="D76" s="17" t="s">
        <v>204</v>
      </c>
      <c r="E76" s="17" t="s">
        <v>141</v>
      </c>
      <c r="F76" s="17" t="s">
        <v>382</v>
      </c>
      <c r="G76" s="17"/>
      <c r="H76" s="17">
        <v>21</v>
      </c>
      <c r="I76" s="17" t="s">
        <v>76</v>
      </c>
      <c r="J76" s="17" t="s">
        <v>265</v>
      </c>
      <c r="K76" s="17" t="s">
        <v>195</v>
      </c>
      <c r="L76" s="17" t="s">
        <v>138</v>
      </c>
      <c r="M76" s="17" t="s">
        <v>239</v>
      </c>
      <c r="N76" s="19" t="s">
        <v>383</v>
      </c>
      <c r="O76" s="17" t="s">
        <v>210</v>
      </c>
    </row>
    <row r="77" spans="1:15" ht="15" customHeight="1" x14ac:dyDescent="0.25">
      <c r="A77" s="20">
        <v>74</v>
      </c>
      <c r="B77" s="21" t="s">
        <v>84</v>
      </c>
      <c r="C77" s="20" t="s">
        <v>189</v>
      </c>
      <c r="D77" s="20" t="s">
        <v>204</v>
      </c>
      <c r="E77" s="20" t="s">
        <v>182</v>
      </c>
      <c r="F77" s="20" t="s">
        <v>384</v>
      </c>
      <c r="G77" s="20"/>
      <c r="H77" s="20">
        <v>10</v>
      </c>
      <c r="I77" s="20" t="s">
        <v>102</v>
      </c>
      <c r="J77" s="20" t="s">
        <v>272</v>
      </c>
      <c r="K77" s="20" t="s">
        <v>195</v>
      </c>
      <c r="L77" s="20" t="s">
        <v>186</v>
      </c>
      <c r="M77" s="20" t="s">
        <v>156</v>
      </c>
      <c r="N77" s="22" t="s">
        <v>385</v>
      </c>
      <c r="O77" s="20" t="s">
        <v>226</v>
      </c>
    </row>
    <row r="78" spans="1:15" ht="15" customHeight="1" x14ac:dyDescent="0.25">
      <c r="A78" s="17">
        <v>75</v>
      </c>
      <c r="B78" s="18" t="s">
        <v>88</v>
      </c>
      <c r="C78" s="17" t="s">
        <v>267</v>
      </c>
      <c r="D78" s="17" t="s">
        <v>140</v>
      </c>
      <c r="E78" s="17" t="s">
        <v>159</v>
      </c>
      <c r="F78" s="17" t="s">
        <v>386</v>
      </c>
      <c r="G78" s="17"/>
      <c r="H78" s="17">
        <v>21</v>
      </c>
      <c r="I78" s="17" t="s">
        <v>218</v>
      </c>
      <c r="J78" s="17" t="s">
        <v>254</v>
      </c>
      <c r="K78" s="17" t="s">
        <v>75</v>
      </c>
      <c r="L78" s="17" t="s">
        <v>162</v>
      </c>
      <c r="M78" s="17" t="s">
        <v>146</v>
      </c>
      <c r="N78" s="19" t="s">
        <v>387</v>
      </c>
      <c r="O78" s="17" t="s">
        <v>274</v>
      </c>
    </row>
    <row r="79" spans="1:15" ht="15" customHeight="1" x14ac:dyDescent="0.25">
      <c r="A79" s="20">
        <v>76</v>
      </c>
      <c r="B79" s="21" t="s">
        <v>91</v>
      </c>
      <c r="C79" s="20" t="s">
        <v>148</v>
      </c>
      <c r="D79" s="20" t="s">
        <v>388</v>
      </c>
      <c r="E79" s="20" t="s">
        <v>167</v>
      </c>
      <c r="F79" s="20" t="s">
        <v>389</v>
      </c>
      <c r="G79" s="20"/>
      <c r="H79" s="20">
        <v>7</v>
      </c>
      <c r="I79" s="20" t="s">
        <v>135</v>
      </c>
      <c r="J79" s="20" t="s">
        <v>279</v>
      </c>
      <c r="K79" s="20" t="s">
        <v>83</v>
      </c>
      <c r="L79" s="20" t="s">
        <v>170</v>
      </c>
      <c r="M79" s="20" t="s">
        <v>200</v>
      </c>
      <c r="N79" s="22" t="s">
        <v>390</v>
      </c>
      <c r="O79" s="20" t="s">
        <v>301</v>
      </c>
    </row>
    <row r="80" spans="1:15" ht="15" customHeight="1" x14ac:dyDescent="0.25">
      <c r="A80" s="17">
        <v>77</v>
      </c>
      <c r="B80" s="18" t="s">
        <v>95</v>
      </c>
      <c r="C80" s="17" t="s">
        <v>74</v>
      </c>
      <c r="D80" s="17" t="s">
        <v>221</v>
      </c>
      <c r="E80" s="17" t="s">
        <v>205</v>
      </c>
      <c r="F80" s="17" t="s">
        <v>391</v>
      </c>
      <c r="G80" s="17"/>
      <c r="H80" s="17">
        <v>28</v>
      </c>
      <c r="I80" s="17" t="s">
        <v>218</v>
      </c>
      <c r="J80" s="17" t="s">
        <v>144</v>
      </c>
      <c r="K80" s="17" t="s">
        <v>214</v>
      </c>
      <c r="L80" s="17" t="s">
        <v>162</v>
      </c>
      <c r="M80" s="17" t="s">
        <v>156</v>
      </c>
      <c r="N80" s="19" t="s">
        <v>392</v>
      </c>
      <c r="O80" s="17" t="s">
        <v>172</v>
      </c>
    </row>
    <row r="81" spans="1:15" ht="15" customHeight="1" x14ac:dyDescent="0.25">
      <c r="A81" s="20">
        <v>78</v>
      </c>
      <c r="B81" s="21" t="s">
        <v>99</v>
      </c>
      <c r="C81" s="20" t="s">
        <v>165</v>
      </c>
      <c r="D81" s="20" t="s">
        <v>231</v>
      </c>
      <c r="E81" s="20" t="s">
        <v>174</v>
      </c>
      <c r="F81" s="20" t="s">
        <v>393</v>
      </c>
      <c r="G81" s="20"/>
      <c r="H81" s="20">
        <v>12</v>
      </c>
      <c r="I81" s="20" t="s">
        <v>102</v>
      </c>
      <c r="J81" s="20" t="s">
        <v>136</v>
      </c>
      <c r="K81" s="20" t="s">
        <v>195</v>
      </c>
      <c r="L81" s="20" t="s">
        <v>127</v>
      </c>
      <c r="M81" s="20" t="s">
        <v>239</v>
      </c>
      <c r="N81" s="22" t="s">
        <v>394</v>
      </c>
      <c r="O81" s="20" t="s">
        <v>172</v>
      </c>
    </row>
    <row r="82" spans="1:15" ht="15" customHeight="1" x14ac:dyDescent="0.25">
      <c r="A82" s="17">
        <v>79</v>
      </c>
      <c r="B82" s="18" t="s">
        <v>103</v>
      </c>
      <c r="C82" s="17" t="s">
        <v>241</v>
      </c>
      <c r="D82" s="17" t="s">
        <v>395</v>
      </c>
      <c r="E82" s="17" t="s">
        <v>150</v>
      </c>
      <c r="F82" s="17" t="s">
        <v>396</v>
      </c>
      <c r="G82" s="17"/>
      <c r="H82" s="17">
        <v>14</v>
      </c>
      <c r="I82" s="17" t="s">
        <v>102</v>
      </c>
      <c r="J82" s="17" t="s">
        <v>373</v>
      </c>
      <c r="K82" s="17" t="s">
        <v>75</v>
      </c>
      <c r="L82" s="17" t="s">
        <v>162</v>
      </c>
      <c r="M82" s="17" t="s">
        <v>156</v>
      </c>
      <c r="N82" s="19" t="s">
        <v>397</v>
      </c>
      <c r="O82" s="17" t="s">
        <v>130</v>
      </c>
    </row>
    <row r="83" spans="1:15" ht="15" customHeight="1" x14ac:dyDescent="0.25">
      <c r="A83" s="20">
        <v>80</v>
      </c>
      <c r="B83" s="21" t="s">
        <v>106</v>
      </c>
      <c r="C83" s="20" t="s">
        <v>109</v>
      </c>
      <c r="D83" s="20" t="s">
        <v>398</v>
      </c>
      <c r="E83" s="20" t="s">
        <v>159</v>
      </c>
      <c r="F83" s="20" t="s">
        <v>399</v>
      </c>
      <c r="G83" s="20"/>
      <c r="H83" s="20">
        <v>7</v>
      </c>
      <c r="I83" s="20" t="s">
        <v>207</v>
      </c>
      <c r="J83" s="20" t="s">
        <v>153</v>
      </c>
      <c r="K83" s="20" t="s">
        <v>83</v>
      </c>
      <c r="L83" s="20" t="s">
        <v>127</v>
      </c>
      <c r="M83" s="20" t="s">
        <v>239</v>
      </c>
      <c r="N83" s="22" t="s">
        <v>400</v>
      </c>
      <c r="O83" s="20" t="s">
        <v>210</v>
      </c>
    </row>
    <row r="84" spans="1:15" ht="15" customHeight="1" x14ac:dyDescent="0.25">
      <c r="A84" s="17">
        <v>81</v>
      </c>
      <c r="B84" s="18" t="s">
        <v>71</v>
      </c>
      <c r="C84" s="17" t="s">
        <v>121</v>
      </c>
      <c r="D84" s="17" t="s">
        <v>245</v>
      </c>
      <c r="E84" s="17" t="s">
        <v>167</v>
      </c>
      <c r="F84" s="17" t="s">
        <v>401</v>
      </c>
      <c r="G84" s="17"/>
      <c r="H84" s="17">
        <v>14</v>
      </c>
      <c r="I84" s="17" t="s">
        <v>102</v>
      </c>
      <c r="J84" s="17" t="s">
        <v>238</v>
      </c>
      <c r="K84" s="17" t="s">
        <v>75</v>
      </c>
      <c r="L84" s="17" t="s">
        <v>127</v>
      </c>
      <c r="M84" s="17"/>
      <c r="N84" s="19" t="s">
        <v>402</v>
      </c>
      <c r="O84" s="17" t="s">
        <v>130</v>
      </c>
    </row>
    <row r="85" spans="1:15" ht="15" customHeight="1" x14ac:dyDescent="0.25">
      <c r="A85" s="20">
        <v>82</v>
      </c>
      <c r="B85" s="21" t="s">
        <v>77</v>
      </c>
      <c r="C85" s="20" t="s">
        <v>189</v>
      </c>
      <c r="D85" s="20" t="s">
        <v>173</v>
      </c>
      <c r="E85" s="20" t="s">
        <v>205</v>
      </c>
      <c r="F85" s="20" t="s">
        <v>403</v>
      </c>
      <c r="G85" s="20"/>
      <c r="H85" s="20">
        <v>12</v>
      </c>
      <c r="I85" s="20" t="s">
        <v>18</v>
      </c>
      <c r="J85" s="20" t="s">
        <v>316</v>
      </c>
      <c r="K85" s="20" t="s">
        <v>195</v>
      </c>
      <c r="L85" s="20" t="s">
        <v>177</v>
      </c>
      <c r="M85" s="20" t="s">
        <v>163</v>
      </c>
      <c r="N85" s="22" t="s">
        <v>404</v>
      </c>
      <c r="O85" s="20" t="s">
        <v>130</v>
      </c>
    </row>
    <row r="86" spans="1:15" ht="15" customHeight="1" x14ac:dyDescent="0.25">
      <c r="A86" s="17">
        <v>83</v>
      </c>
      <c r="B86" s="18" t="s">
        <v>80</v>
      </c>
      <c r="C86" s="17" t="s">
        <v>267</v>
      </c>
      <c r="D86" s="17" t="s">
        <v>398</v>
      </c>
      <c r="E86" s="17" t="s">
        <v>286</v>
      </c>
      <c r="F86" s="17" t="s">
        <v>405</v>
      </c>
      <c r="G86" s="17"/>
      <c r="H86" s="17">
        <v>21</v>
      </c>
      <c r="I86" s="17" t="s">
        <v>135</v>
      </c>
      <c r="J86" s="17" t="s">
        <v>343</v>
      </c>
      <c r="K86" s="17" t="s">
        <v>126</v>
      </c>
      <c r="L86" s="17" t="s">
        <v>186</v>
      </c>
      <c r="M86" s="17" t="s">
        <v>224</v>
      </c>
      <c r="N86" s="19" t="s">
        <v>406</v>
      </c>
      <c r="O86" s="17" t="s">
        <v>172</v>
      </c>
    </row>
    <row r="87" spans="1:15" ht="15" customHeight="1" x14ac:dyDescent="0.25">
      <c r="A87" s="20">
        <v>84</v>
      </c>
      <c r="B87" s="21" t="s">
        <v>84</v>
      </c>
      <c r="C87" s="20" t="s">
        <v>203</v>
      </c>
      <c r="D87" s="20" t="s">
        <v>173</v>
      </c>
      <c r="E87" s="20" t="s">
        <v>150</v>
      </c>
      <c r="F87" s="20" t="s">
        <v>407</v>
      </c>
      <c r="G87" s="20"/>
      <c r="H87" s="20">
        <v>12</v>
      </c>
      <c r="I87" s="20" t="s">
        <v>135</v>
      </c>
      <c r="J87" s="20" t="s">
        <v>294</v>
      </c>
      <c r="K87" s="20" t="s">
        <v>185</v>
      </c>
      <c r="L87" s="20" t="s">
        <v>138</v>
      </c>
      <c r="M87" s="20" t="s">
        <v>178</v>
      </c>
      <c r="N87" s="22" t="s">
        <v>408</v>
      </c>
      <c r="O87" s="20" t="s">
        <v>172</v>
      </c>
    </row>
    <row r="88" spans="1:15" ht="15" customHeight="1" x14ac:dyDescent="0.25">
      <c r="A88" s="17">
        <v>85</v>
      </c>
      <c r="B88" s="18" t="s">
        <v>88</v>
      </c>
      <c r="C88" s="17" t="s">
        <v>74</v>
      </c>
      <c r="D88" s="17" t="s">
        <v>302</v>
      </c>
      <c r="E88" s="17" t="s">
        <v>191</v>
      </c>
      <c r="F88" s="17" t="s">
        <v>409</v>
      </c>
      <c r="G88" s="17"/>
      <c r="H88" s="17">
        <v>21</v>
      </c>
      <c r="I88" s="17" t="s">
        <v>76</v>
      </c>
      <c r="J88" s="17" t="s">
        <v>304</v>
      </c>
      <c r="K88" s="17" t="s">
        <v>83</v>
      </c>
      <c r="L88" s="17" t="s">
        <v>138</v>
      </c>
      <c r="M88" s="17" t="s">
        <v>128</v>
      </c>
      <c r="N88" s="19" t="s">
        <v>410</v>
      </c>
      <c r="O88" s="17" t="s">
        <v>202</v>
      </c>
    </row>
    <row r="89" spans="1:15" ht="15" customHeight="1" x14ac:dyDescent="0.25">
      <c r="A89" s="20">
        <v>86</v>
      </c>
      <c r="B89" s="21" t="s">
        <v>91</v>
      </c>
      <c r="C89" s="20" t="s">
        <v>165</v>
      </c>
      <c r="D89" s="20" t="s">
        <v>348</v>
      </c>
      <c r="E89" s="20" t="s">
        <v>249</v>
      </c>
      <c r="F89" s="20" t="s">
        <v>380</v>
      </c>
      <c r="G89" s="20"/>
      <c r="H89" s="20">
        <v>14</v>
      </c>
      <c r="I89" s="20" t="s">
        <v>76</v>
      </c>
      <c r="J89" s="20" t="s">
        <v>279</v>
      </c>
      <c r="K89" s="20" t="s">
        <v>185</v>
      </c>
      <c r="L89" s="20" t="s">
        <v>127</v>
      </c>
      <c r="M89" s="20" t="s">
        <v>200</v>
      </c>
      <c r="N89" s="22" t="s">
        <v>411</v>
      </c>
      <c r="O89" s="20" t="s">
        <v>274</v>
      </c>
    </row>
    <row r="90" spans="1:15" ht="15" customHeight="1" x14ac:dyDescent="0.25">
      <c r="A90" s="17">
        <v>87</v>
      </c>
      <c r="B90" s="18" t="s">
        <v>95</v>
      </c>
      <c r="C90" s="17" t="s">
        <v>241</v>
      </c>
      <c r="D90" s="17" t="s">
        <v>181</v>
      </c>
      <c r="E90" s="17" t="s">
        <v>133</v>
      </c>
      <c r="F90" s="17" t="s">
        <v>192</v>
      </c>
      <c r="G90" s="17"/>
      <c r="H90" s="17">
        <v>28</v>
      </c>
      <c r="I90" s="17" t="s">
        <v>18</v>
      </c>
      <c r="J90" s="17" t="s">
        <v>363</v>
      </c>
      <c r="K90" s="17" t="s">
        <v>94</v>
      </c>
      <c r="L90" s="17" t="s">
        <v>162</v>
      </c>
      <c r="M90" s="17" t="s">
        <v>128</v>
      </c>
      <c r="N90" s="19" t="s">
        <v>412</v>
      </c>
      <c r="O90" s="17" t="s">
        <v>274</v>
      </c>
    </row>
    <row r="91" spans="1:15" ht="15" customHeight="1" x14ac:dyDescent="0.25">
      <c r="A91" s="20">
        <v>88</v>
      </c>
      <c r="B91" s="21" t="s">
        <v>99</v>
      </c>
      <c r="C91" s="20" t="s">
        <v>148</v>
      </c>
      <c r="D91" s="20" t="s">
        <v>413</v>
      </c>
      <c r="E91" s="20" t="s">
        <v>286</v>
      </c>
      <c r="F91" s="20" t="s">
        <v>359</v>
      </c>
      <c r="G91" s="20"/>
      <c r="H91" s="20">
        <v>7</v>
      </c>
      <c r="I91" s="20" t="s">
        <v>335</v>
      </c>
      <c r="J91" s="20" t="s">
        <v>29</v>
      </c>
      <c r="K91" s="20" t="s">
        <v>75</v>
      </c>
      <c r="L91" s="20" t="s">
        <v>162</v>
      </c>
      <c r="M91" s="20" t="s">
        <v>200</v>
      </c>
      <c r="N91" s="22" t="s">
        <v>414</v>
      </c>
      <c r="O91" s="20" t="s">
        <v>188</v>
      </c>
    </row>
    <row r="92" spans="1:15" ht="15" customHeight="1" x14ac:dyDescent="0.25">
      <c r="A92" s="17">
        <v>89</v>
      </c>
      <c r="B92" s="18" t="s">
        <v>103</v>
      </c>
      <c r="C92" s="17" t="s">
        <v>230</v>
      </c>
      <c r="D92" s="17" t="s">
        <v>190</v>
      </c>
      <c r="E92" s="17" t="s">
        <v>182</v>
      </c>
      <c r="F92" s="17" t="s">
        <v>320</v>
      </c>
      <c r="G92" s="17"/>
      <c r="H92" s="17">
        <v>7</v>
      </c>
      <c r="I92" s="17" t="s">
        <v>193</v>
      </c>
      <c r="J92" s="17" t="s">
        <v>153</v>
      </c>
      <c r="K92" s="17" t="s">
        <v>195</v>
      </c>
      <c r="L92" s="17" t="s">
        <v>177</v>
      </c>
      <c r="M92" s="17" t="s">
        <v>213</v>
      </c>
      <c r="N92" s="19" t="s">
        <v>415</v>
      </c>
      <c r="O92" s="17" t="s">
        <v>210</v>
      </c>
    </row>
    <row r="93" spans="1:15" ht="15" customHeight="1" x14ac:dyDescent="0.25">
      <c r="A93" s="20">
        <v>90</v>
      </c>
      <c r="B93" s="21" t="s">
        <v>106</v>
      </c>
      <c r="C93" s="20" t="s">
        <v>87</v>
      </c>
      <c r="D93" s="20" t="s">
        <v>388</v>
      </c>
      <c r="E93" s="20" t="s">
        <v>159</v>
      </c>
      <c r="F93" s="20" t="s">
        <v>334</v>
      </c>
      <c r="G93" s="20"/>
      <c r="H93" s="20">
        <v>14</v>
      </c>
      <c r="I93" s="20" t="s">
        <v>135</v>
      </c>
      <c r="J93" s="20" t="s">
        <v>261</v>
      </c>
      <c r="K93" s="20" t="s">
        <v>75</v>
      </c>
      <c r="L93" s="20" t="s">
        <v>170</v>
      </c>
      <c r="M93" s="20" t="s">
        <v>163</v>
      </c>
      <c r="N93" s="22" t="s">
        <v>416</v>
      </c>
      <c r="O93" s="20" t="s">
        <v>301</v>
      </c>
    </row>
    <row r="94" spans="1:15" ht="15" customHeight="1" x14ac:dyDescent="0.25">
      <c r="A94" s="17">
        <v>91</v>
      </c>
      <c r="B94" s="18" t="s">
        <v>71</v>
      </c>
      <c r="C94" s="17" t="s">
        <v>241</v>
      </c>
      <c r="D94" s="17" t="s">
        <v>417</v>
      </c>
      <c r="E94" s="17" t="s">
        <v>249</v>
      </c>
      <c r="F94" s="17" t="s">
        <v>342</v>
      </c>
      <c r="G94" s="17"/>
      <c r="H94" s="17">
        <v>21</v>
      </c>
      <c r="I94" s="17" t="s">
        <v>143</v>
      </c>
      <c r="J94" s="17" t="s">
        <v>373</v>
      </c>
      <c r="K94" s="17" t="s">
        <v>185</v>
      </c>
      <c r="L94" s="17" t="s">
        <v>155</v>
      </c>
      <c r="M94" s="17" t="s">
        <v>163</v>
      </c>
      <c r="N94" s="19" t="s">
        <v>418</v>
      </c>
      <c r="O94" s="17" t="s">
        <v>130</v>
      </c>
    </row>
    <row r="95" spans="1:15" ht="15" customHeight="1" x14ac:dyDescent="0.25">
      <c r="A95" s="20">
        <v>92</v>
      </c>
      <c r="B95" s="21" t="s">
        <v>77</v>
      </c>
      <c r="C95" s="20" t="s">
        <v>270</v>
      </c>
      <c r="D95" s="20" t="s">
        <v>122</v>
      </c>
      <c r="E95" s="20" t="s">
        <v>205</v>
      </c>
      <c r="F95" s="20" t="s">
        <v>419</v>
      </c>
      <c r="G95" s="20"/>
      <c r="H95" s="20">
        <v>12</v>
      </c>
      <c r="I95" s="20" t="s">
        <v>76</v>
      </c>
      <c r="J95" s="20" t="s">
        <v>169</v>
      </c>
      <c r="K95" s="20" t="s">
        <v>75</v>
      </c>
      <c r="L95" s="20" t="s">
        <v>162</v>
      </c>
      <c r="M95" s="20" t="s">
        <v>156</v>
      </c>
      <c r="N95" s="22" t="s">
        <v>420</v>
      </c>
      <c r="O95" s="20" t="s">
        <v>130</v>
      </c>
    </row>
    <row r="96" spans="1:15" ht="15" customHeight="1" x14ac:dyDescent="0.25">
      <c r="A96" s="17">
        <v>93</v>
      </c>
      <c r="B96" s="18" t="s">
        <v>80</v>
      </c>
      <c r="C96" s="17" t="s">
        <v>121</v>
      </c>
      <c r="D96" s="17" t="s">
        <v>245</v>
      </c>
      <c r="E96" s="17" t="s">
        <v>141</v>
      </c>
      <c r="F96" s="17" t="s">
        <v>340</v>
      </c>
      <c r="G96" s="17"/>
      <c r="H96" s="17">
        <v>14</v>
      </c>
      <c r="I96" s="17" t="s">
        <v>207</v>
      </c>
      <c r="J96" s="17" t="s">
        <v>208</v>
      </c>
      <c r="K96" s="17" t="s">
        <v>137</v>
      </c>
      <c r="L96" s="17" t="s">
        <v>155</v>
      </c>
      <c r="M96" s="17" t="s">
        <v>224</v>
      </c>
      <c r="N96" s="19" t="s">
        <v>421</v>
      </c>
      <c r="O96" s="17" t="s">
        <v>202</v>
      </c>
    </row>
    <row r="97" spans="1:15" ht="15" customHeight="1" x14ac:dyDescent="0.25">
      <c r="A97" s="20">
        <v>94</v>
      </c>
      <c r="B97" s="21" t="s">
        <v>84</v>
      </c>
      <c r="C97" s="20" t="s">
        <v>189</v>
      </c>
      <c r="D97" s="20" t="s">
        <v>132</v>
      </c>
      <c r="E97" s="20" t="s">
        <v>319</v>
      </c>
      <c r="F97" s="20" t="s">
        <v>393</v>
      </c>
      <c r="G97" s="20"/>
      <c r="H97" s="20">
        <v>21</v>
      </c>
      <c r="I97" s="20" t="s">
        <v>218</v>
      </c>
      <c r="J97" s="20" t="s">
        <v>272</v>
      </c>
      <c r="K97" s="20" t="s">
        <v>255</v>
      </c>
      <c r="L97" s="20" t="s">
        <v>162</v>
      </c>
      <c r="M97" s="20" t="s">
        <v>224</v>
      </c>
      <c r="N97" s="22" t="s">
        <v>422</v>
      </c>
      <c r="O97" s="20" t="s">
        <v>188</v>
      </c>
    </row>
    <row r="98" spans="1:15" ht="15" customHeight="1" x14ac:dyDescent="0.25">
      <c r="A98" s="17">
        <v>95</v>
      </c>
      <c r="B98" s="18" t="s">
        <v>88</v>
      </c>
      <c r="C98" s="17" t="s">
        <v>98</v>
      </c>
      <c r="D98" s="17" t="s">
        <v>398</v>
      </c>
      <c r="E98" s="17" t="s">
        <v>159</v>
      </c>
      <c r="F98" s="17" t="s">
        <v>175</v>
      </c>
      <c r="G98" s="17"/>
      <c r="H98" s="17">
        <v>21</v>
      </c>
      <c r="I98" s="17" t="s">
        <v>102</v>
      </c>
      <c r="J98" s="17" t="s">
        <v>304</v>
      </c>
      <c r="K98" s="17" t="s">
        <v>14</v>
      </c>
      <c r="L98" s="17" t="s">
        <v>162</v>
      </c>
      <c r="M98" s="17" t="s">
        <v>163</v>
      </c>
      <c r="N98" s="19" t="s">
        <v>423</v>
      </c>
      <c r="O98" s="17" t="s">
        <v>130</v>
      </c>
    </row>
    <row r="99" spans="1:15" ht="15" customHeight="1" x14ac:dyDescent="0.25">
      <c r="A99" s="20">
        <v>96</v>
      </c>
      <c r="B99" s="21" t="s">
        <v>91</v>
      </c>
      <c r="C99" s="20" t="s">
        <v>203</v>
      </c>
      <c r="D99" s="20" t="s">
        <v>245</v>
      </c>
      <c r="E99" s="20" t="s">
        <v>249</v>
      </c>
      <c r="F99" s="20" t="s">
        <v>424</v>
      </c>
      <c r="G99" s="20"/>
      <c r="H99" s="20">
        <v>12</v>
      </c>
      <c r="I99" s="20" t="s">
        <v>102</v>
      </c>
      <c r="J99" s="20" t="s">
        <v>425</v>
      </c>
      <c r="K99" s="20" t="s">
        <v>14</v>
      </c>
      <c r="L99" s="20" t="s">
        <v>155</v>
      </c>
      <c r="M99" s="20" t="s">
        <v>163</v>
      </c>
      <c r="N99" s="22" t="s">
        <v>426</v>
      </c>
      <c r="O99" s="20" t="s">
        <v>216</v>
      </c>
    </row>
    <row r="100" spans="1:15" ht="15" customHeight="1" x14ac:dyDescent="0.25">
      <c r="A100" s="17">
        <v>97</v>
      </c>
      <c r="B100" s="18" t="s">
        <v>95</v>
      </c>
      <c r="C100" s="17" t="s">
        <v>180</v>
      </c>
      <c r="D100" s="17" t="s">
        <v>173</v>
      </c>
      <c r="E100" s="17" t="s">
        <v>133</v>
      </c>
      <c r="F100" s="17" t="s">
        <v>427</v>
      </c>
      <c r="G100" s="17"/>
      <c r="H100" s="17">
        <v>12</v>
      </c>
      <c r="I100" s="17" t="s">
        <v>152</v>
      </c>
      <c r="J100" s="17" t="s">
        <v>169</v>
      </c>
      <c r="K100" s="17" t="s">
        <v>154</v>
      </c>
      <c r="L100" s="17" t="s">
        <v>177</v>
      </c>
      <c r="M100" s="17" t="s">
        <v>200</v>
      </c>
      <c r="N100" s="19" t="s">
        <v>428</v>
      </c>
      <c r="O100" s="17" t="s">
        <v>130</v>
      </c>
    </row>
    <row r="101" spans="1:15" ht="15" customHeight="1" x14ac:dyDescent="0.25">
      <c r="A101" s="20">
        <v>98</v>
      </c>
      <c r="B101" s="21" t="s">
        <v>99</v>
      </c>
      <c r="C101" s="20" t="s">
        <v>87</v>
      </c>
      <c r="D101" s="20" t="s">
        <v>348</v>
      </c>
      <c r="E101" s="20" t="s">
        <v>141</v>
      </c>
      <c r="F101" s="20" t="s">
        <v>198</v>
      </c>
      <c r="G101" s="20"/>
      <c r="H101" s="20">
        <v>14</v>
      </c>
      <c r="I101" s="20" t="s">
        <v>76</v>
      </c>
      <c r="J101" s="20" t="s">
        <v>294</v>
      </c>
      <c r="K101" s="20" t="s">
        <v>185</v>
      </c>
      <c r="L101" s="20" t="s">
        <v>177</v>
      </c>
      <c r="M101" s="20" t="s">
        <v>224</v>
      </c>
      <c r="N101" s="22" t="s">
        <v>429</v>
      </c>
      <c r="O101" s="20" t="s">
        <v>226</v>
      </c>
    </row>
    <row r="102" spans="1:15" ht="15" customHeight="1" x14ac:dyDescent="0.25">
      <c r="A102" s="17">
        <v>99</v>
      </c>
      <c r="B102" s="18" t="s">
        <v>103</v>
      </c>
      <c r="C102" s="17" t="s">
        <v>267</v>
      </c>
      <c r="D102" s="17" t="s">
        <v>263</v>
      </c>
      <c r="E102" s="17" t="s">
        <v>150</v>
      </c>
      <c r="F102" s="17" t="s">
        <v>430</v>
      </c>
      <c r="G102" s="17"/>
      <c r="H102" s="17">
        <v>14</v>
      </c>
      <c r="I102" s="17" t="s">
        <v>278</v>
      </c>
      <c r="J102" s="17" t="s">
        <v>343</v>
      </c>
      <c r="K102" s="17" t="s">
        <v>126</v>
      </c>
      <c r="L102" s="17" t="s">
        <v>177</v>
      </c>
      <c r="M102" s="17" t="s">
        <v>200</v>
      </c>
      <c r="N102" s="19" t="s">
        <v>431</v>
      </c>
      <c r="O102" s="17" t="s">
        <v>210</v>
      </c>
    </row>
    <row r="103" spans="1:15" ht="15" customHeight="1" x14ac:dyDescent="0.25">
      <c r="A103" s="20">
        <v>100</v>
      </c>
      <c r="B103" s="21" t="s">
        <v>106</v>
      </c>
      <c r="C103" s="20" t="s">
        <v>148</v>
      </c>
      <c r="D103" s="20" t="s">
        <v>298</v>
      </c>
      <c r="E103" s="20" t="s">
        <v>159</v>
      </c>
      <c r="F103" s="20" t="s">
        <v>432</v>
      </c>
      <c r="G103" s="20"/>
      <c r="H103" s="20">
        <v>28</v>
      </c>
      <c r="I103" s="20" t="s">
        <v>152</v>
      </c>
      <c r="J103" s="20" t="s">
        <v>223</v>
      </c>
      <c r="K103" s="20" t="s">
        <v>83</v>
      </c>
      <c r="L103" s="20" t="s">
        <v>155</v>
      </c>
      <c r="M103" s="20" t="s">
        <v>146</v>
      </c>
      <c r="N103" s="22" t="s">
        <v>433</v>
      </c>
      <c r="O103" s="20" t="s">
        <v>130</v>
      </c>
    </row>
    <row r="104" spans="1:15" ht="15" customHeight="1" x14ac:dyDescent="0.25">
      <c r="A104" s="17">
        <v>101</v>
      </c>
      <c r="B104" s="18" t="s">
        <v>71</v>
      </c>
      <c r="C104" s="17" t="s">
        <v>121</v>
      </c>
      <c r="D104" s="17" t="s">
        <v>413</v>
      </c>
      <c r="E104" s="17" t="s">
        <v>123</v>
      </c>
      <c r="F104" s="17" t="s">
        <v>434</v>
      </c>
      <c r="G104" s="17"/>
      <c r="H104" s="17">
        <v>12</v>
      </c>
      <c r="I104" s="17" t="s">
        <v>135</v>
      </c>
      <c r="J104" s="17" t="s">
        <v>261</v>
      </c>
      <c r="K104" s="17" t="s">
        <v>185</v>
      </c>
      <c r="L104" s="17" t="s">
        <v>186</v>
      </c>
      <c r="M104" s="17" t="s">
        <v>200</v>
      </c>
      <c r="N104" s="19" t="s">
        <v>435</v>
      </c>
      <c r="O104" s="17" t="s">
        <v>210</v>
      </c>
    </row>
    <row r="105" spans="1:15" ht="15" customHeight="1" x14ac:dyDescent="0.25">
      <c r="A105" s="20">
        <v>102</v>
      </c>
      <c r="B105" s="21" t="s">
        <v>77</v>
      </c>
      <c r="C105" s="20" t="s">
        <v>87</v>
      </c>
      <c r="D105" s="20" t="s">
        <v>314</v>
      </c>
      <c r="E105" s="20" t="s">
        <v>232</v>
      </c>
      <c r="F105" s="20" t="s">
        <v>436</v>
      </c>
      <c r="G105" s="20"/>
      <c r="H105" s="20">
        <v>10</v>
      </c>
      <c r="I105" s="20" t="s">
        <v>76</v>
      </c>
      <c r="J105" s="20" t="s">
        <v>184</v>
      </c>
      <c r="K105" s="20" t="s">
        <v>137</v>
      </c>
      <c r="L105" s="20" t="s">
        <v>138</v>
      </c>
      <c r="M105" s="20" t="s">
        <v>239</v>
      </c>
      <c r="N105" s="22" t="s">
        <v>437</v>
      </c>
      <c r="O105" s="20" t="s">
        <v>130</v>
      </c>
    </row>
    <row r="106" spans="1:15" ht="15" customHeight="1" x14ac:dyDescent="0.25">
      <c r="A106" s="17">
        <v>103</v>
      </c>
      <c r="B106" s="18" t="s">
        <v>80</v>
      </c>
      <c r="C106" s="17" t="s">
        <v>241</v>
      </c>
      <c r="D106" s="17" t="s">
        <v>211</v>
      </c>
      <c r="E106" s="17" t="s">
        <v>286</v>
      </c>
      <c r="F106" s="17" t="s">
        <v>438</v>
      </c>
      <c r="G106" s="17"/>
      <c r="H106" s="17">
        <v>7</v>
      </c>
      <c r="I106" s="17" t="s">
        <v>76</v>
      </c>
      <c r="J106" s="17" t="s">
        <v>304</v>
      </c>
      <c r="K106" s="17" t="s">
        <v>126</v>
      </c>
      <c r="L106" s="17" t="s">
        <v>186</v>
      </c>
      <c r="M106" s="17" t="s">
        <v>200</v>
      </c>
      <c r="N106" s="19" t="s">
        <v>439</v>
      </c>
      <c r="O106" s="17" t="s">
        <v>235</v>
      </c>
    </row>
    <row r="107" spans="1:15" ht="15" customHeight="1" x14ac:dyDescent="0.25">
      <c r="A107" s="20">
        <v>104</v>
      </c>
      <c r="B107" s="21" t="s">
        <v>84</v>
      </c>
      <c r="C107" s="20" t="s">
        <v>270</v>
      </c>
      <c r="D107" s="20" t="s">
        <v>140</v>
      </c>
      <c r="E107" s="20" t="s">
        <v>182</v>
      </c>
      <c r="F107" s="20" t="s">
        <v>440</v>
      </c>
      <c r="G107" s="20"/>
      <c r="H107" s="20">
        <v>14</v>
      </c>
      <c r="I107" s="20" t="s">
        <v>76</v>
      </c>
      <c r="J107" s="20" t="s">
        <v>343</v>
      </c>
      <c r="K107" s="20" t="s">
        <v>14</v>
      </c>
      <c r="L107" s="20" t="s">
        <v>155</v>
      </c>
      <c r="M107" s="20" t="s">
        <v>239</v>
      </c>
      <c r="N107" s="22" t="s">
        <v>441</v>
      </c>
      <c r="O107" s="20" t="s">
        <v>210</v>
      </c>
    </row>
    <row r="108" spans="1:15" ht="15" customHeight="1" x14ac:dyDescent="0.25">
      <c r="A108" s="17">
        <v>105</v>
      </c>
      <c r="B108" s="18" t="s">
        <v>88</v>
      </c>
      <c r="C108" s="17" t="s">
        <v>121</v>
      </c>
      <c r="D108" s="17" t="s">
        <v>140</v>
      </c>
      <c r="E108" s="17" t="s">
        <v>159</v>
      </c>
      <c r="F108" s="17" t="s">
        <v>442</v>
      </c>
      <c r="G108" s="17"/>
      <c r="H108" s="17">
        <v>7</v>
      </c>
      <c r="I108" s="17" t="s">
        <v>76</v>
      </c>
      <c r="J108" s="17" t="s">
        <v>208</v>
      </c>
      <c r="K108" s="17" t="s">
        <v>154</v>
      </c>
      <c r="L108" s="17" t="s">
        <v>186</v>
      </c>
      <c r="M108" s="17" t="s">
        <v>213</v>
      </c>
      <c r="N108" s="19" t="s">
        <v>443</v>
      </c>
      <c r="O108" s="17" t="s">
        <v>216</v>
      </c>
    </row>
    <row r="109" spans="1:15" ht="15" customHeight="1" x14ac:dyDescent="0.25">
      <c r="A109" s="20">
        <v>106</v>
      </c>
      <c r="B109" s="21" t="s">
        <v>91</v>
      </c>
      <c r="C109" s="20" t="s">
        <v>131</v>
      </c>
      <c r="D109" s="20" t="s">
        <v>388</v>
      </c>
      <c r="E109" s="20" t="s">
        <v>123</v>
      </c>
      <c r="F109" s="20" t="s">
        <v>444</v>
      </c>
      <c r="G109" s="20"/>
      <c r="H109" s="20">
        <v>12</v>
      </c>
      <c r="I109" s="20" t="s">
        <v>207</v>
      </c>
      <c r="J109" s="20" t="s">
        <v>265</v>
      </c>
      <c r="K109" s="20" t="s">
        <v>154</v>
      </c>
      <c r="L109" s="20" t="s">
        <v>155</v>
      </c>
      <c r="M109" s="20" t="s">
        <v>213</v>
      </c>
      <c r="N109" s="22" t="s">
        <v>445</v>
      </c>
      <c r="O109" s="20" t="s">
        <v>130</v>
      </c>
    </row>
    <row r="110" spans="1:15" ht="15" customHeight="1" x14ac:dyDescent="0.25">
      <c r="A110" s="17">
        <v>107</v>
      </c>
      <c r="B110" s="18" t="s">
        <v>95</v>
      </c>
      <c r="C110" s="17" t="s">
        <v>98</v>
      </c>
      <c r="D110" s="17" t="s">
        <v>132</v>
      </c>
      <c r="E110" s="17" t="s">
        <v>205</v>
      </c>
      <c r="F110" s="17" t="s">
        <v>151</v>
      </c>
      <c r="G110" s="17"/>
      <c r="H110" s="17">
        <v>14</v>
      </c>
      <c r="I110" s="17" t="s">
        <v>335</v>
      </c>
      <c r="J110" s="17" t="s">
        <v>238</v>
      </c>
      <c r="K110" s="17" t="s">
        <v>214</v>
      </c>
      <c r="L110" s="17" t="s">
        <v>170</v>
      </c>
      <c r="M110" s="17" t="s">
        <v>163</v>
      </c>
      <c r="N110" s="19" t="s">
        <v>446</v>
      </c>
      <c r="O110" s="17" t="s">
        <v>235</v>
      </c>
    </row>
    <row r="111" spans="1:15" ht="15" customHeight="1" x14ac:dyDescent="0.25">
      <c r="A111" s="20">
        <v>108</v>
      </c>
      <c r="B111" s="21" t="s">
        <v>99</v>
      </c>
      <c r="C111" s="20" t="s">
        <v>109</v>
      </c>
      <c r="D111" s="20" t="s">
        <v>122</v>
      </c>
      <c r="E111" s="20" t="s">
        <v>141</v>
      </c>
      <c r="F111" s="20" t="s">
        <v>368</v>
      </c>
      <c r="G111" s="20"/>
      <c r="H111" s="20">
        <v>21</v>
      </c>
      <c r="I111" s="20" t="s">
        <v>135</v>
      </c>
      <c r="J111" s="20" t="s">
        <v>136</v>
      </c>
      <c r="K111" s="20" t="s">
        <v>75</v>
      </c>
      <c r="L111" s="20" t="s">
        <v>155</v>
      </c>
      <c r="M111" s="20"/>
      <c r="N111" s="22" t="s">
        <v>447</v>
      </c>
      <c r="O111" s="20" t="s">
        <v>130</v>
      </c>
    </row>
    <row r="112" spans="1:15" ht="15" customHeight="1" x14ac:dyDescent="0.25">
      <c r="A112" s="17">
        <v>109</v>
      </c>
      <c r="B112" s="18" t="s">
        <v>103</v>
      </c>
      <c r="C112" s="17" t="s">
        <v>180</v>
      </c>
      <c r="D112" s="17" t="s">
        <v>158</v>
      </c>
      <c r="E112" s="17" t="s">
        <v>150</v>
      </c>
      <c r="F112" s="17" t="s">
        <v>448</v>
      </c>
      <c r="G112" s="17"/>
      <c r="H112" s="17">
        <v>28</v>
      </c>
      <c r="I112" s="17" t="s">
        <v>152</v>
      </c>
      <c r="J112" s="17" t="s">
        <v>194</v>
      </c>
      <c r="K112" s="17" t="s">
        <v>185</v>
      </c>
      <c r="L112" s="17" t="s">
        <v>177</v>
      </c>
      <c r="M112" s="17" t="s">
        <v>128</v>
      </c>
      <c r="N112" s="19" t="s">
        <v>449</v>
      </c>
      <c r="O112" s="17" t="s">
        <v>274</v>
      </c>
    </row>
    <row r="113" spans="1:15" ht="15" customHeight="1" x14ac:dyDescent="0.25">
      <c r="A113" s="20">
        <v>110</v>
      </c>
      <c r="B113" s="21" t="s">
        <v>106</v>
      </c>
      <c r="C113" s="20" t="s">
        <v>189</v>
      </c>
      <c r="D113" s="20" t="s">
        <v>398</v>
      </c>
      <c r="E113" s="20" t="s">
        <v>159</v>
      </c>
      <c r="F113" s="20" t="s">
        <v>438</v>
      </c>
      <c r="G113" s="20"/>
      <c r="H113" s="20">
        <v>12</v>
      </c>
      <c r="I113" s="20" t="s">
        <v>102</v>
      </c>
      <c r="J113" s="20" t="s">
        <v>153</v>
      </c>
      <c r="K113" s="20" t="s">
        <v>137</v>
      </c>
      <c r="L113" s="20" t="s">
        <v>127</v>
      </c>
      <c r="M113" s="20" t="s">
        <v>213</v>
      </c>
      <c r="N113" s="22" t="s">
        <v>450</v>
      </c>
      <c r="O113" s="20" t="s">
        <v>216</v>
      </c>
    </row>
    <row r="114" spans="1:15" ht="15" customHeight="1" x14ac:dyDescent="0.25">
      <c r="A114" s="17">
        <v>111</v>
      </c>
      <c r="B114" s="18" t="s">
        <v>71</v>
      </c>
      <c r="C114" s="17" t="s">
        <v>197</v>
      </c>
      <c r="D114" s="17" t="s">
        <v>132</v>
      </c>
      <c r="E114" s="17" t="s">
        <v>249</v>
      </c>
      <c r="F114" s="17" t="s">
        <v>451</v>
      </c>
      <c r="G114" s="17"/>
      <c r="H114" s="17">
        <v>21</v>
      </c>
      <c r="I114" s="17" t="s">
        <v>152</v>
      </c>
      <c r="J114" s="17" t="s">
        <v>169</v>
      </c>
      <c r="K114" s="17" t="s">
        <v>145</v>
      </c>
      <c r="L114" s="17" t="s">
        <v>186</v>
      </c>
      <c r="M114" s="17" t="s">
        <v>224</v>
      </c>
      <c r="N114" s="19" t="s">
        <v>452</v>
      </c>
      <c r="O114" s="17" t="s">
        <v>188</v>
      </c>
    </row>
    <row r="115" spans="1:15" ht="15" customHeight="1" x14ac:dyDescent="0.25">
      <c r="A115" s="20">
        <v>112</v>
      </c>
      <c r="B115" s="21" t="s">
        <v>77</v>
      </c>
      <c r="C115" s="20" t="s">
        <v>109</v>
      </c>
      <c r="D115" s="20" t="s">
        <v>337</v>
      </c>
      <c r="E115" s="20" t="s">
        <v>232</v>
      </c>
      <c r="F115" s="20" t="s">
        <v>453</v>
      </c>
      <c r="G115" s="20"/>
      <c r="H115" s="20">
        <v>21</v>
      </c>
      <c r="I115" s="20" t="s">
        <v>143</v>
      </c>
      <c r="J115" s="20" t="s">
        <v>136</v>
      </c>
      <c r="K115" s="20" t="s">
        <v>255</v>
      </c>
      <c r="L115" s="20" t="s">
        <v>177</v>
      </c>
      <c r="M115" s="20" t="s">
        <v>224</v>
      </c>
      <c r="N115" s="22" t="s">
        <v>454</v>
      </c>
      <c r="O115" s="20" t="s">
        <v>130</v>
      </c>
    </row>
    <row r="116" spans="1:15" ht="15" customHeight="1" x14ac:dyDescent="0.25">
      <c r="A116" s="17">
        <v>113</v>
      </c>
      <c r="B116" s="18" t="s">
        <v>80</v>
      </c>
      <c r="C116" s="17" t="s">
        <v>121</v>
      </c>
      <c r="D116" s="17" t="s">
        <v>367</v>
      </c>
      <c r="E116" s="17" t="s">
        <v>174</v>
      </c>
      <c r="F116" s="17" t="s">
        <v>315</v>
      </c>
      <c r="G116" s="17"/>
      <c r="H116" s="17">
        <v>14</v>
      </c>
      <c r="I116" s="17" t="s">
        <v>193</v>
      </c>
      <c r="J116" s="17" t="s">
        <v>161</v>
      </c>
      <c r="K116" s="17" t="s">
        <v>137</v>
      </c>
      <c r="L116" s="17" t="s">
        <v>186</v>
      </c>
      <c r="M116" s="17" t="s">
        <v>156</v>
      </c>
      <c r="N116" s="19" t="s">
        <v>455</v>
      </c>
      <c r="O116" s="17" t="s">
        <v>216</v>
      </c>
    </row>
    <row r="117" spans="1:15" ht="15" customHeight="1" x14ac:dyDescent="0.25">
      <c r="A117" s="20">
        <v>114</v>
      </c>
      <c r="B117" s="21" t="s">
        <v>84</v>
      </c>
      <c r="C117" s="20" t="s">
        <v>189</v>
      </c>
      <c r="D117" s="20" t="s">
        <v>181</v>
      </c>
      <c r="E117" s="20" t="s">
        <v>182</v>
      </c>
      <c r="F117" s="20" t="s">
        <v>456</v>
      </c>
      <c r="G117" s="20"/>
      <c r="H117" s="20">
        <v>7</v>
      </c>
      <c r="I117" s="20" t="s">
        <v>152</v>
      </c>
      <c r="J117" s="20" t="s">
        <v>184</v>
      </c>
      <c r="K117" s="20" t="s">
        <v>255</v>
      </c>
      <c r="L117" s="20" t="s">
        <v>138</v>
      </c>
      <c r="M117" s="20"/>
      <c r="N117" s="22" t="s">
        <v>457</v>
      </c>
      <c r="O117" s="20" t="s">
        <v>274</v>
      </c>
    </row>
    <row r="118" spans="1:15" ht="15" customHeight="1" x14ac:dyDescent="0.25">
      <c r="A118" s="17">
        <v>115</v>
      </c>
      <c r="B118" s="18" t="s">
        <v>88</v>
      </c>
      <c r="C118" s="17" t="s">
        <v>241</v>
      </c>
      <c r="D118" s="17" t="s">
        <v>173</v>
      </c>
      <c r="E118" s="17" t="s">
        <v>159</v>
      </c>
      <c r="F118" s="17" t="s">
        <v>386</v>
      </c>
      <c r="G118" s="17"/>
      <c r="H118" s="17">
        <v>10</v>
      </c>
      <c r="I118" s="17" t="s">
        <v>207</v>
      </c>
      <c r="J118" s="17" t="s">
        <v>199</v>
      </c>
      <c r="K118" s="17" t="s">
        <v>126</v>
      </c>
      <c r="L118" s="17" t="s">
        <v>177</v>
      </c>
      <c r="M118" s="17" t="s">
        <v>128</v>
      </c>
      <c r="N118" s="19" t="s">
        <v>458</v>
      </c>
      <c r="O118" s="17" t="s">
        <v>301</v>
      </c>
    </row>
    <row r="119" spans="1:15" ht="15" customHeight="1" x14ac:dyDescent="0.25">
      <c r="A119" s="20">
        <v>116</v>
      </c>
      <c r="B119" s="21" t="s">
        <v>91</v>
      </c>
      <c r="C119" s="20" t="s">
        <v>270</v>
      </c>
      <c r="D119" s="20" t="s">
        <v>413</v>
      </c>
      <c r="E119" s="20" t="s">
        <v>167</v>
      </c>
      <c r="F119" s="20" t="s">
        <v>459</v>
      </c>
      <c r="G119" s="20"/>
      <c r="H119" s="20">
        <v>7</v>
      </c>
      <c r="I119" s="20" t="s">
        <v>76</v>
      </c>
      <c r="J119" s="20" t="s">
        <v>184</v>
      </c>
      <c r="K119" s="20" t="s">
        <v>137</v>
      </c>
      <c r="L119" s="20" t="s">
        <v>177</v>
      </c>
      <c r="M119" s="20" t="s">
        <v>239</v>
      </c>
      <c r="N119" s="22" t="s">
        <v>460</v>
      </c>
      <c r="O119" s="20" t="s">
        <v>210</v>
      </c>
    </row>
    <row r="120" spans="1:15" ht="15" customHeight="1" x14ac:dyDescent="0.25">
      <c r="A120" s="17">
        <v>117</v>
      </c>
      <c r="B120" s="18" t="s">
        <v>95</v>
      </c>
      <c r="C120" s="17" t="s">
        <v>121</v>
      </c>
      <c r="D120" s="17" t="s">
        <v>314</v>
      </c>
      <c r="E120" s="17" t="s">
        <v>205</v>
      </c>
      <c r="F120" s="17" t="s">
        <v>461</v>
      </c>
      <c r="G120" s="17"/>
      <c r="H120" s="17">
        <v>28</v>
      </c>
      <c r="I120" s="17" t="s">
        <v>152</v>
      </c>
      <c r="J120" s="17" t="s">
        <v>261</v>
      </c>
      <c r="K120" s="17" t="s">
        <v>75</v>
      </c>
      <c r="L120" s="17" t="s">
        <v>127</v>
      </c>
      <c r="M120" s="17" t="s">
        <v>146</v>
      </c>
      <c r="N120" s="19" t="s">
        <v>462</v>
      </c>
      <c r="O120" s="17" t="s">
        <v>226</v>
      </c>
    </row>
    <row r="121" spans="1:15" ht="15" customHeight="1" x14ac:dyDescent="0.25">
      <c r="A121" s="20">
        <v>118</v>
      </c>
      <c r="B121" s="21" t="s">
        <v>99</v>
      </c>
      <c r="C121" s="20" t="s">
        <v>165</v>
      </c>
      <c r="D121" s="20" t="s">
        <v>259</v>
      </c>
      <c r="E121" s="20" t="s">
        <v>141</v>
      </c>
      <c r="F121" s="20" t="s">
        <v>463</v>
      </c>
      <c r="G121" s="20"/>
      <c r="H121" s="20">
        <v>21</v>
      </c>
      <c r="I121" s="20" t="s">
        <v>193</v>
      </c>
      <c r="J121" s="20" t="s">
        <v>144</v>
      </c>
      <c r="K121" s="20" t="s">
        <v>195</v>
      </c>
      <c r="L121" s="20" t="s">
        <v>155</v>
      </c>
      <c r="M121" s="20" t="s">
        <v>163</v>
      </c>
      <c r="N121" s="22" t="s">
        <v>464</v>
      </c>
      <c r="O121" s="20" t="s">
        <v>188</v>
      </c>
    </row>
    <row r="122" spans="1:15" ht="15" customHeight="1" x14ac:dyDescent="0.25">
      <c r="A122" s="17">
        <v>119</v>
      </c>
      <c r="B122" s="18" t="s">
        <v>103</v>
      </c>
      <c r="C122" s="17" t="s">
        <v>267</v>
      </c>
      <c r="D122" s="17" t="s">
        <v>417</v>
      </c>
      <c r="E122" s="17" t="s">
        <v>150</v>
      </c>
      <c r="F122" s="17" t="s">
        <v>160</v>
      </c>
      <c r="G122" s="17"/>
      <c r="H122" s="17">
        <v>14</v>
      </c>
      <c r="I122" s="17" t="s">
        <v>207</v>
      </c>
      <c r="J122" s="17" t="s">
        <v>136</v>
      </c>
      <c r="K122" s="17" t="s">
        <v>214</v>
      </c>
      <c r="L122" s="17" t="s">
        <v>138</v>
      </c>
      <c r="M122" s="17" t="s">
        <v>239</v>
      </c>
      <c r="N122" s="19" t="s">
        <v>465</v>
      </c>
      <c r="O122" s="17" t="s">
        <v>274</v>
      </c>
    </row>
    <row r="123" spans="1:15" ht="15" customHeight="1" x14ac:dyDescent="0.25">
      <c r="A123" s="20">
        <v>120</v>
      </c>
      <c r="B123" s="21" t="s">
        <v>106</v>
      </c>
      <c r="C123" s="20" t="s">
        <v>109</v>
      </c>
      <c r="D123" s="20" t="s">
        <v>204</v>
      </c>
      <c r="E123" s="20" t="s">
        <v>159</v>
      </c>
      <c r="F123" s="20" t="s">
        <v>466</v>
      </c>
      <c r="G123" s="20"/>
      <c r="H123" s="20">
        <v>12</v>
      </c>
      <c r="I123" s="20" t="s">
        <v>18</v>
      </c>
      <c r="J123" s="20" t="s">
        <v>136</v>
      </c>
      <c r="K123" s="20" t="s">
        <v>83</v>
      </c>
      <c r="L123" s="20" t="s">
        <v>162</v>
      </c>
      <c r="M123" s="20"/>
      <c r="N123" s="22" t="s">
        <v>467</v>
      </c>
      <c r="O123" s="20" t="s">
        <v>130</v>
      </c>
    </row>
    <row r="124" spans="1:15" ht="15" customHeight="1" x14ac:dyDescent="0.25">
      <c r="A124" s="17">
        <v>121</v>
      </c>
      <c r="B124" s="18" t="s">
        <v>71</v>
      </c>
      <c r="C124" s="17" t="s">
        <v>180</v>
      </c>
      <c r="D124" s="17" t="s">
        <v>231</v>
      </c>
      <c r="E124" s="17" t="s">
        <v>249</v>
      </c>
      <c r="F124" s="17" t="s">
        <v>151</v>
      </c>
      <c r="G124" s="17"/>
      <c r="H124" s="17">
        <v>21</v>
      </c>
      <c r="I124" s="17" t="s">
        <v>218</v>
      </c>
      <c r="J124" s="17" t="s">
        <v>310</v>
      </c>
      <c r="K124" s="17" t="s">
        <v>94</v>
      </c>
      <c r="L124" s="17" t="s">
        <v>155</v>
      </c>
      <c r="M124" s="17" t="s">
        <v>224</v>
      </c>
      <c r="N124" s="19" t="s">
        <v>468</v>
      </c>
      <c r="O124" s="17" t="s">
        <v>130</v>
      </c>
    </row>
    <row r="125" spans="1:15" ht="15" customHeight="1" x14ac:dyDescent="0.25">
      <c r="A125" s="20">
        <v>122</v>
      </c>
      <c r="B125" s="21" t="s">
        <v>77</v>
      </c>
      <c r="C125" s="20" t="s">
        <v>131</v>
      </c>
      <c r="D125" s="20" t="s">
        <v>227</v>
      </c>
      <c r="E125" s="20" t="s">
        <v>205</v>
      </c>
      <c r="F125" s="20" t="s">
        <v>469</v>
      </c>
      <c r="G125" s="20"/>
      <c r="H125" s="20">
        <v>10</v>
      </c>
      <c r="I125" s="20" t="s">
        <v>102</v>
      </c>
      <c r="J125" s="20" t="s">
        <v>125</v>
      </c>
      <c r="K125" s="20" t="s">
        <v>94</v>
      </c>
      <c r="L125" s="20" t="s">
        <v>138</v>
      </c>
      <c r="M125" s="20" t="s">
        <v>163</v>
      </c>
      <c r="N125" s="22" t="s">
        <v>470</v>
      </c>
      <c r="O125" s="20" t="s">
        <v>130</v>
      </c>
    </row>
    <row r="126" spans="1:15" ht="15" customHeight="1" x14ac:dyDescent="0.25">
      <c r="A126" s="17">
        <v>123</v>
      </c>
      <c r="B126" s="18" t="s">
        <v>80</v>
      </c>
      <c r="C126" s="17" t="s">
        <v>241</v>
      </c>
      <c r="D126" s="17" t="s">
        <v>329</v>
      </c>
      <c r="E126" s="17" t="s">
        <v>286</v>
      </c>
      <c r="F126" s="17" t="s">
        <v>312</v>
      </c>
      <c r="G126" s="17"/>
      <c r="H126" s="17">
        <v>14</v>
      </c>
      <c r="I126" s="17" t="s">
        <v>193</v>
      </c>
      <c r="J126" s="17" t="s">
        <v>199</v>
      </c>
      <c r="K126" s="17" t="s">
        <v>195</v>
      </c>
      <c r="L126" s="17" t="s">
        <v>186</v>
      </c>
      <c r="M126" s="17" t="s">
        <v>224</v>
      </c>
      <c r="N126" s="19" t="s">
        <v>471</v>
      </c>
      <c r="O126" s="17" t="s">
        <v>226</v>
      </c>
    </row>
    <row r="127" spans="1:15" ht="15" customHeight="1" x14ac:dyDescent="0.25">
      <c r="A127" s="20">
        <v>124</v>
      </c>
      <c r="B127" s="21" t="s">
        <v>84</v>
      </c>
      <c r="C127" s="20" t="s">
        <v>270</v>
      </c>
      <c r="D127" s="20" t="s">
        <v>231</v>
      </c>
      <c r="E127" s="20" t="s">
        <v>319</v>
      </c>
      <c r="F127" s="20" t="s">
        <v>403</v>
      </c>
      <c r="G127" s="20"/>
      <c r="H127" s="20">
        <v>10</v>
      </c>
      <c r="I127" s="20" t="s">
        <v>152</v>
      </c>
      <c r="J127" s="20" t="s">
        <v>254</v>
      </c>
      <c r="K127" s="20" t="s">
        <v>185</v>
      </c>
      <c r="L127" s="20" t="s">
        <v>170</v>
      </c>
      <c r="M127" s="20"/>
      <c r="N127" s="22" t="s">
        <v>472</v>
      </c>
      <c r="O127" s="20" t="s">
        <v>274</v>
      </c>
    </row>
    <row r="128" spans="1:15" ht="15" customHeight="1" x14ac:dyDescent="0.25">
      <c r="A128" s="17">
        <v>125</v>
      </c>
      <c r="B128" s="18" t="s">
        <v>88</v>
      </c>
      <c r="C128" s="17" t="s">
        <v>230</v>
      </c>
      <c r="D128" s="17" t="s">
        <v>285</v>
      </c>
      <c r="E128" s="17" t="s">
        <v>159</v>
      </c>
      <c r="F128" s="17" t="s">
        <v>473</v>
      </c>
      <c r="G128" s="17"/>
      <c r="H128" s="17">
        <v>12</v>
      </c>
      <c r="I128" s="17" t="s">
        <v>76</v>
      </c>
      <c r="J128" s="17" t="s">
        <v>304</v>
      </c>
      <c r="K128" s="17" t="s">
        <v>154</v>
      </c>
      <c r="L128" s="17" t="s">
        <v>138</v>
      </c>
      <c r="M128" s="17" t="s">
        <v>239</v>
      </c>
      <c r="N128" s="19" t="s">
        <v>474</v>
      </c>
      <c r="O128" s="17" t="s">
        <v>130</v>
      </c>
    </row>
    <row r="129" spans="1:15" ht="15" customHeight="1" x14ac:dyDescent="0.25">
      <c r="A129" s="20">
        <v>126</v>
      </c>
      <c r="B129" s="21" t="s">
        <v>91</v>
      </c>
      <c r="C129" s="20" t="s">
        <v>165</v>
      </c>
      <c r="D129" s="20" t="s">
        <v>158</v>
      </c>
      <c r="E129" s="20" t="s">
        <v>249</v>
      </c>
      <c r="F129" s="20" t="s">
        <v>475</v>
      </c>
      <c r="G129" s="20"/>
      <c r="H129" s="20">
        <v>14</v>
      </c>
      <c r="I129" s="20" t="s">
        <v>143</v>
      </c>
      <c r="J129" s="20" t="s">
        <v>223</v>
      </c>
      <c r="K129" s="20" t="s">
        <v>154</v>
      </c>
      <c r="L129" s="20" t="s">
        <v>170</v>
      </c>
      <c r="M129" s="20" t="s">
        <v>146</v>
      </c>
      <c r="N129" s="22" t="s">
        <v>476</v>
      </c>
      <c r="O129" s="20" t="s">
        <v>226</v>
      </c>
    </row>
    <row r="130" spans="1:15" ht="15" customHeight="1" x14ac:dyDescent="0.25">
      <c r="A130" s="17">
        <v>127</v>
      </c>
      <c r="B130" s="18" t="s">
        <v>95</v>
      </c>
      <c r="C130" s="17" t="s">
        <v>98</v>
      </c>
      <c r="D130" s="17" t="s">
        <v>149</v>
      </c>
      <c r="E130" s="17" t="s">
        <v>232</v>
      </c>
      <c r="F130" s="17" t="s">
        <v>477</v>
      </c>
      <c r="G130" s="17"/>
      <c r="H130" s="17">
        <v>28</v>
      </c>
      <c r="I130" s="17" t="s">
        <v>152</v>
      </c>
      <c r="J130" s="17" t="s">
        <v>343</v>
      </c>
      <c r="K130" s="17" t="s">
        <v>137</v>
      </c>
      <c r="L130" s="17" t="s">
        <v>127</v>
      </c>
      <c r="M130" s="17" t="s">
        <v>178</v>
      </c>
      <c r="N130" s="19" t="s">
        <v>478</v>
      </c>
      <c r="O130" s="17" t="s">
        <v>274</v>
      </c>
    </row>
    <row r="131" spans="1:15" ht="15" customHeight="1" x14ac:dyDescent="0.25">
      <c r="A131" s="20">
        <v>128</v>
      </c>
      <c r="B131" s="21" t="s">
        <v>99</v>
      </c>
      <c r="C131" s="20" t="s">
        <v>270</v>
      </c>
      <c r="D131" s="20" t="s">
        <v>398</v>
      </c>
      <c r="E131" s="20" t="s">
        <v>286</v>
      </c>
      <c r="F131" s="20" t="s">
        <v>479</v>
      </c>
      <c r="G131" s="20"/>
      <c r="H131" s="20">
        <v>12</v>
      </c>
      <c r="I131" s="20" t="s">
        <v>176</v>
      </c>
      <c r="J131" s="20" t="s">
        <v>194</v>
      </c>
      <c r="K131" s="20" t="s">
        <v>75</v>
      </c>
      <c r="L131" s="20" t="s">
        <v>155</v>
      </c>
      <c r="M131" s="20" t="s">
        <v>128</v>
      </c>
      <c r="N131" s="22" t="s">
        <v>480</v>
      </c>
      <c r="O131" s="20" t="s">
        <v>216</v>
      </c>
    </row>
    <row r="132" spans="1:15" ht="15" customHeight="1" x14ac:dyDescent="0.25">
      <c r="A132" s="17">
        <v>129</v>
      </c>
      <c r="B132" s="18" t="s">
        <v>103</v>
      </c>
      <c r="C132" s="17" t="s">
        <v>180</v>
      </c>
      <c r="D132" s="17" t="s">
        <v>481</v>
      </c>
      <c r="E132" s="17" t="s">
        <v>150</v>
      </c>
      <c r="F132" s="17" t="s">
        <v>482</v>
      </c>
      <c r="G132" s="17"/>
      <c r="H132" s="17">
        <v>21</v>
      </c>
      <c r="I132" s="17" t="s">
        <v>207</v>
      </c>
      <c r="J132" s="17" t="s">
        <v>304</v>
      </c>
      <c r="K132" s="17" t="s">
        <v>214</v>
      </c>
      <c r="L132" s="17" t="s">
        <v>186</v>
      </c>
      <c r="M132" s="17" t="s">
        <v>163</v>
      </c>
      <c r="N132" s="19" t="s">
        <v>483</v>
      </c>
      <c r="O132" s="17" t="s">
        <v>130</v>
      </c>
    </row>
    <row r="133" spans="1:15" ht="15" customHeight="1" x14ac:dyDescent="0.25">
      <c r="A133" s="20">
        <v>130</v>
      </c>
      <c r="B133" s="21" t="s">
        <v>106</v>
      </c>
      <c r="C133" s="20" t="s">
        <v>87</v>
      </c>
      <c r="D133" s="20" t="s">
        <v>181</v>
      </c>
      <c r="E133" s="20" t="s">
        <v>159</v>
      </c>
      <c r="F133" s="20" t="s">
        <v>484</v>
      </c>
      <c r="G133" s="20"/>
      <c r="H133" s="20">
        <v>12</v>
      </c>
      <c r="I133" s="20" t="s">
        <v>102</v>
      </c>
      <c r="J133" s="20" t="s">
        <v>169</v>
      </c>
      <c r="K133" s="20" t="s">
        <v>154</v>
      </c>
      <c r="L133" s="20" t="s">
        <v>170</v>
      </c>
      <c r="M133" s="20"/>
      <c r="N133" s="22" t="s">
        <v>485</v>
      </c>
      <c r="O133" s="20" t="s">
        <v>202</v>
      </c>
    </row>
    <row r="134" spans="1:15" ht="15" customHeight="1" x14ac:dyDescent="0.25">
      <c r="A134" s="17">
        <v>131</v>
      </c>
      <c r="B134" s="18" t="s">
        <v>71</v>
      </c>
      <c r="C134" s="17" t="s">
        <v>267</v>
      </c>
      <c r="D134" s="17" t="s">
        <v>190</v>
      </c>
      <c r="E134" s="17" t="s">
        <v>167</v>
      </c>
      <c r="F134" s="17" t="s">
        <v>359</v>
      </c>
      <c r="G134" s="17"/>
      <c r="H134" s="17">
        <v>14</v>
      </c>
      <c r="I134" s="17" t="s">
        <v>18</v>
      </c>
      <c r="J134" s="17" t="s">
        <v>373</v>
      </c>
      <c r="K134" s="17" t="s">
        <v>137</v>
      </c>
      <c r="L134" s="17" t="s">
        <v>127</v>
      </c>
      <c r="M134" s="17" t="s">
        <v>200</v>
      </c>
      <c r="N134" s="19" t="s">
        <v>486</v>
      </c>
      <c r="O134" s="17" t="s">
        <v>274</v>
      </c>
    </row>
    <row r="135" spans="1:15" ht="15" customHeight="1" x14ac:dyDescent="0.25">
      <c r="A135" s="20">
        <v>132</v>
      </c>
      <c r="B135" s="21" t="s">
        <v>77</v>
      </c>
      <c r="C135" s="20" t="s">
        <v>148</v>
      </c>
      <c r="D135" s="20" t="s">
        <v>259</v>
      </c>
      <c r="E135" s="20" t="s">
        <v>205</v>
      </c>
      <c r="F135" s="20" t="s">
        <v>487</v>
      </c>
      <c r="G135" s="20"/>
      <c r="H135" s="20">
        <v>21</v>
      </c>
      <c r="I135" s="20" t="s">
        <v>76</v>
      </c>
      <c r="J135" s="20" t="s">
        <v>425</v>
      </c>
      <c r="K135" s="20" t="s">
        <v>137</v>
      </c>
      <c r="L135" s="20" t="s">
        <v>186</v>
      </c>
      <c r="M135" s="20" t="s">
        <v>156</v>
      </c>
      <c r="N135" s="22" t="s">
        <v>488</v>
      </c>
      <c r="O135" s="20" t="s">
        <v>210</v>
      </c>
    </row>
    <row r="136" spans="1:15" ht="15" customHeight="1" x14ac:dyDescent="0.25">
      <c r="A136" s="17">
        <v>133</v>
      </c>
      <c r="B136" s="18" t="s">
        <v>80</v>
      </c>
      <c r="C136" s="17" t="s">
        <v>74</v>
      </c>
      <c r="D136" s="17" t="s">
        <v>221</v>
      </c>
      <c r="E136" s="17" t="s">
        <v>286</v>
      </c>
      <c r="F136" s="17" t="s">
        <v>489</v>
      </c>
      <c r="G136" s="17"/>
      <c r="H136" s="17">
        <v>28</v>
      </c>
      <c r="I136" s="17" t="s">
        <v>152</v>
      </c>
      <c r="J136" s="17" t="s">
        <v>294</v>
      </c>
      <c r="K136" s="17" t="s">
        <v>255</v>
      </c>
      <c r="L136" s="17" t="s">
        <v>138</v>
      </c>
      <c r="M136" s="17"/>
      <c r="N136" s="19" t="s">
        <v>490</v>
      </c>
      <c r="O136" s="17" t="s">
        <v>226</v>
      </c>
    </row>
    <row r="137" spans="1:15" ht="15" customHeight="1" x14ac:dyDescent="0.25">
      <c r="A137" s="20">
        <v>134</v>
      </c>
      <c r="B137" s="21" t="s">
        <v>84</v>
      </c>
      <c r="C137" s="20" t="s">
        <v>131</v>
      </c>
      <c r="D137" s="20" t="s">
        <v>308</v>
      </c>
      <c r="E137" s="20" t="s">
        <v>150</v>
      </c>
      <c r="F137" s="20" t="s">
        <v>491</v>
      </c>
      <c r="G137" s="20"/>
      <c r="H137" s="20">
        <v>10</v>
      </c>
      <c r="I137" s="20" t="s">
        <v>18</v>
      </c>
      <c r="J137" s="20" t="s">
        <v>310</v>
      </c>
      <c r="K137" s="20" t="s">
        <v>145</v>
      </c>
      <c r="L137" s="20" t="s">
        <v>127</v>
      </c>
      <c r="M137" s="20" t="s">
        <v>146</v>
      </c>
      <c r="N137" s="22" t="s">
        <v>492</v>
      </c>
      <c r="O137" s="20" t="s">
        <v>210</v>
      </c>
    </row>
    <row r="138" spans="1:15" ht="15" customHeight="1" x14ac:dyDescent="0.25">
      <c r="A138" s="17">
        <v>135</v>
      </c>
      <c r="B138" s="18" t="s">
        <v>88</v>
      </c>
      <c r="C138" s="17" t="s">
        <v>98</v>
      </c>
      <c r="D138" s="17" t="s">
        <v>204</v>
      </c>
      <c r="E138" s="17" t="s">
        <v>191</v>
      </c>
      <c r="F138" s="17" t="s">
        <v>493</v>
      </c>
      <c r="G138" s="17"/>
      <c r="H138" s="17">
        <v>7</v>
      </c>
      <c r="I138" s="17" t="s">
        <v>218</v>
      </c>
      <c r="J138" s="17" t="s">
        <v>199</v>
      </c>
      <c r="K138" s="17" t="s">
        <v>94</v>
      </c>
      <c r="L138" s="17" t="s">
        <v>162</v>
      </c>
      <c r="M138" s="17" t="s">
        <v>146</v>
      </c>
      <c r="N138" s="19" t="s">
        <v>494</v>
      </c>
      <c r="O138" s="17" t="s">
        <v>226</v>
      </c>
    </row>
    <row r="139" spans="1:15" ht="15" customHeight="1" x14ac:dyDescent="0.25">
      <c r="A139" s="20">
        <v>136</v>
      </c>
      <c r="B139" s="21" t="s">
        <v>91</v>
      </c>
      <c r="C139" s="20" t="s">
        <v>270</v>
      </c>
      <c r="D139" s="20" t="s">
        <v>122</v>
      </c>
      <c r="E139" s="20" t="s">
        <v>249</v>
      </c>
      <c r="F139" s="20" t="s">
        <v>495</v>
      </c>
      <c r="G139" s="20"/>
      <c r="H139" s="20">
        <v>10</v>
      </c>
      <c r="I139" s="20" t="s">
        <v>207</v>
      </c>
      <c r="J139" s="20" t="s">
        <v>29</v>
      </c>
      <c r="K139" s="20" t="s">
        <v>14</v>
      </c>
      <c r="L139" s="20" t="s">
        <v>177</v>
      </c>
      <c r="M139" s="20" t="s">
        <v>156</v>
      </c>
      <c r="N139" s="22" t="s">
        <v>496</v>
      </c>
      <c r="O139" s="20" t="s">
        <v>226</v>
      </c>
    </row>
    <row r="140" spans="1:15" ht="15" customHeight="1" x14ac:dyDescent="0.25">
      <c r="A140" s="17">
        <v>137</v>
      </c>
      <c r="B140" s="18" t="s">
        <v>95</v>
      </c>
      <c r="C140" s="17" t="s">
        <v>74</v>
      </c>
      <c r="D140" s="17" t="s">
        <v>497</v>
      </c>
      <c r="E140" s="17" t="s">
        <v>133</v>
      </c>
      <c r="F140" s="17" t="s">
        <v>469</v>
      </c>
      <c r="G140" s="17"/>
      <c r="H140" s="17">
        <v>10</v>
      </c>
      <c r="I140" s="17" t="s">
        <v>193</v>
      </c>
      <c r="J140" s="17" t="s">
        <v>29</v>
      </c>
      <c r="K140" s="17" t="s">
        <v>214</v>
      </c>
      <c r="L140" s="17" t="s">
        <v>177</v>
      </c>
      <c r="M140" s="17" t="s">
        <v>128</v>
      </c>
      <c r="N140" s="19" t="s">
        <v>498</v>
      </c>
      <c r="O140" s="17" t="s">
        <v>130</v>
      </c>
    </row>
    <row r="141" spans="1:15" ht="15" customHeight="1" x14ac:dyDescent="0.25">
      <c r="A141" s="20">
        <v>138</v>
      </c>
      <c r="B141" s="21" t="s">
        <v>99</v>
      </c>
      <c r="C141" s="20" t="s">
        <v>87</v>
      </c>
      <c r="D141" s="20" t="s">
        <v>122</v>
      </c>
      <c r="E141" s="20" t="s">
        <v>174</v>
      </c>
      <c r="F141" s="20" t="s">
        <v>499</v>
      </c>
      <c r="G141" s="20"/>
      <c r="H141" s="20">
        <v>12</v>
      </c>
      <c r="I141" s="20" t="s">
        <v>207</v>
      </c>
      <c r="J141" s="20" t="s">
        <v>29</v>
      </c>
      <c r="K141" s="20" t="s">
        <v>14</v>
      </c>
      <c r="L141" s="20" t="s">
        <v>155</v>
      </c>
      <c r="M141" s="20" t="s">
        <v>213</v>
      </c>
      <c r="N141" s="22" t="s">
        <v>500</v>
      </c>
      <c r="O141" s="20" t="s">
        <v>130</v>
      </c>
    </row>
    <row r="142" spans="1:15" ht="15" customHeight="1" x14ac:dyDescent="0.25">
      <c r="A142" s="17">
        <v>139</v>
      </c>
      <c r="B142" s="18" t="s">
        <v>103</v>
      </c>
      <c r="C142" s="17" t="s">
        <v>267</v>
      </c>
      <c r="D142" s="17" t="s">
        <v>367</v>
      </c>
      <c r="E142" s="17" t="s">
        <v>182</v>
      </c>
      <c r="F142" s="17" t="s">
        <v>487</v>
      </c>
      <c r="G142" s="17"/>
      <c r="H142" s="17">
        <v>7</v>
      </c>
      <c r="I142" s="17" t="s">
        <v>143</v>
      </c>
      <c r="J142" s="17" t="s">
        <v>199</v>
      </c>
      <c r="K142" s="17" t="s">
        <v>195</v>
      </c>
      <c r="L142" s="17" t="s">
        <v>127</v>
      </c>
      <c r="M142" s="17"/>
      <c r="N142" s="19" t="s">
        <v>501</v>
      </c>
      <c r="O142" s="17" t="s">
        <v>202</v>
      </c>
    </row>
    <row r="143" spans="1:15" ht="15" customHeight="1" x14ac:dyDescent="0.25">
      <c r="A143" s="20">
        <v>140</v>
      </c>
      <c r="B143" s="21" t="s">
        <v>106</v>
      </c>
      <c r="C143" s="20" t="s">
        <v>203</v>
      </c>
      <c r="D143" s="20" t="s">
        <v>6</v>
      </c>
      <c r="E143" s="20" t="s">
        <v>191</v>
      </c>
      <c r="F143" s="20" t="s">
        <v>233</v>
      </c>
      <c r="G143" s="20"/>
      <c r="H143" s="20">
        <v>28</v>
      </c>
      <c r="I143" s="20" t="s">
        <v>102</v>
      </c>
      <c r="J143" s="20" t="s">
        <v>425</v>
      </c>
      <c r="K143" s="20" t="s">
        <v>255</v>
      </c>
      <c r="L143" s="20" t="s">
        <v>170</v>
      </c>
      <c r="M143" s="20" t="s">
        <v>200</v>
      </c>
      <c r="N143" s="22" t="s">
        <v>502</v>
      </c>
      <c r="O143" s="20" t="s">
        <v>130</v>
      </c>
    </row>
    <row r="144" spans="1:15" ht="15" customHeight="1" x14ac:dyDescent="0.25">
      <c r="A144" s="17">
        <v>141</v>
      </c>
      <c r="B144" s="18" t="s">
        <v>71</v>
      </c>
      <c r="C144" s="17" t="s">
        <v>121</v>
      </c>
      <c r="D144" s="17" t="s">
        <v>252</v>
      </c>
      <c r="E144" s="17" t="s">
        <v>167</v>
      </c>
      <c r="F144" s="17" t="s">
        <v>503</v>
      </c>
      <c r="G144" s="17"/>
      <c r="H144" s="17">
        <v>28</v>
      </c>
      <c r="I144" s="17" t="s">
        <v>76</v>
      </c>
      <c r="J144" s="17" t="s">
        <v>254</v>
      </c>
      <c r="K144" s="17" t="s">
        <v>145</v>
      </c>
      <c r="L144" s="17" t="s">
        <v>127</v>
      </c>
      <c r="M144" s="17" t="s">
        <v>239</v>
      </c>
      <c r="N144" s="19" t="s">
        <v>504</v>
      </c>
      <c r="O144" s="17" t="s">
        <v>235</v>
      </c>
    </row>
    <row r="145" spans="1:15" ht="15" customHeight="1" x14ac:dyDescent="0.25">
      <c r="A145" s="20">
        <v>142</v>
      </c>
      <c r="B145" s="21" t="s">
        <v>77</v>
      </c>
      <c r="C145" s="20" t="s">
        <v>165</v>
      </c>
      <c r="D145" s="20" t="s">
        <v>302</v>
      </c>
      <c r="E145" s="20" t="s">
        <v>205</v>
      </c>
      <c r="F145" s="20" t="s">
        <v>206</v>
      </c>
      <c r="G145" s="20"/>
      <c r="H145" s="20">
        <v>14</v>
      </c>
      <c r="I145" s="20" t="s">
        <v>218</v>
      </c>
      <c r="J145" s="20" t="s">
        <v>213</v>
      </c>
      <c r="K145" s="20" t="s">
        <v>75</v>
      </c>
      <c r="L145" s="20" t="s">
        <v>155</v>
      </c>
      <c r="M145" s="20" t="s">
        <v>156</v>
      </c>
      <c r="N145" s="22" t="s">
        <v>505</v>
      </c>
      <c r="O145" s="20" t="s">
        <v>130</v>
      </c>
    </row>
    <row r="146" spans="1:15" ht="15" customHeight="1" x14ac:dyDescent="0.25">
      <c r="A146" s="17">
        <v>143</v>
      </c>
      <c r="B146" s="18" t="s">
        <v>80</v>
      </c>
      <c r="C146" s="17" t="s">
        <v>98</v>
      </c>
      <c r="D146" s="17" t="s">
        <v>181</v>
      </c>
      <c r="E146" s="17" t="s">
        <v>174</v>
      </c>
      <c r="F146" s="17" t="s">
        <v>356</v>
      </c>
      <c r="G146" s="17"/>
      <c r="H146" s="17">
        <v>21</v>
      </c>
      <c r="I146" s="17" t="s">
        <v>218</v>
      </c>
      <c r="J146" s="17" t="s">
        <v>279</v>
      </c>
      <c r="K146" s="17" t="s">
        <v>195</v>
      </c>
      <c r="L146" s="17" t="s">
        <v>162</v>
      </c>
      <c r="M146" s="17" t="s">
        <v>224</v>
      </c>
      <c r="N146" s="19" t="s">
        <v>506</v>
      </c>
      <c r="O146" s="17" t="s">
        <v>130</v>
      </c>
    </row>
    <row r="147" spans="1:15" ht="15" customHeight="1" x14ac:dyDescent="0.25">
      <c r="A147" s="20">
        <v>144</v>
      </c>
      <c r="B147" s="21" t="s">
        <v>84</v>
      </c>
      <c r="C147" s="20" t="s">
        <v>109</v>
      </c>
      <c r="D147" s="20" t="s">
        <v>271</v>
      </c>
      <c r="E147" s="20" t="s">
        <v>182</v>
      </c>
      <c r="F147" s="20" t="s">
        <v>507</v>
      </c>
      <c r="G147" s="20"/>
      <c r="H147" s="20">
        <v>21</v>
      </c>
      <c r="I147" s="20" t="s">
        <v>143</v>
      </c>
      <c r="J147" s="20" t="s">
        <v>238</v>
      </c>
      <c r="K147" s="20" t="s">
        <v>185</v>
      </c>
      <c r="L147" s="20" t="s">
        <v>127</v>
      </c>
      <c r="M147" s="20"/>
      <c r="N147" s="22" t="s">
        <v>508</v>
      </c>
      <c r="O147" s="20" t="s">
        <v>210</v>
      </c>
    </row>
    <row r="148" spans="1:15" ht="15" customHeight="1" x14ac:dyDescent="0.25">
      <c r="A148" s="17">
        <v>145</v>
      </c>
      <c r="B148" s="18" t="s">
        <v>88</v>
      </c>
      <c r="C148" s="17" t="s">
        <v>180</v>
      </c>
      <c r="D148" s="17" t="s">
        <v>509</v>
      </c>
      <c r="E148" s="17" t="s">
        <v>191</v>
      </c>
      <c r="F148" s="17" t="s">
        <v>510</v>
      </c>
      <c r="G148" s="17"/>
      <c r="H148" s="17">
        <v>10</v>
      </c>
      <c r="I148" s="17" t="s">
        <v>76</v>
      </c>
      <c r="J148" s="17" t="s">
        <v>199</v>
      </c>
      <c r="K148" s="17" t="s">
        <v>185</v>
      </c>
      <c r="L148" s="17" t="s">
        <v>170</v>
      </c>
      <c r="M148" s="17" t="s">
        <v>146</v>
      </c>
      <c r="N148" s="19" t="s">
        <v>511</v>
      </c>
      <c r="O148" s="17" t="s">
        <v>130</v>
      </c>
    </row>
    <row r="149" spans="1:15" ht="15" customHeight="1" x14ac:dyDescent="0.25">
      <c r="A149" s="20">
        <v>146</v>
      </c>
      <c r="B149" s="21" t="s">
        <v>91</v>
      </c>
      <c r="C149" s="20" t="s">
        <v>189</v>
      </c>
      <c r="D149" s="20" t="s">
        <v>204</v>
      </c>
      <c r="E149" s="20" t="s">
        <v>249</v>
      </c>
      <c r="F149" s="20" t="s">
        <v>246</v>
      </c>
      <c r="G149" s="20"/>
      <c r="H149" s="20">
        <v>12</v>
      </c>
      <c r="I149" s="20" t="s">
        <v>76</v>
      </c>
      <c r="J149" s="20" t="s">
        <v>304</v>
      </c>
      <c r="K149" s="20" t="s">
        <v>255</v>
      </c>
      <c r="L149" s="20" t="s">
        <v>170</v>
      </c>
      <c r="M149" s="20" t="s">
        <v>213</v>
      </c>
      <c r="N149" s="22" t="s">
        <v>512</v>
      </c>
      <c r="O149" s="20" t="s">
        <v>226</v>
      </c>
    </row>
    <row r="150" spans="1:15" ht="15" customHeight="1" x14ac:dyDescent="0.25">
      <c r="A150" s="17">
        <v>147</v>
      </c>
      <c r="B150" s="18" t="s">
        <v>95</v>
      </c>
      <c r="C150" s="17" t="s">
        <v>267</v>
      </c>
      <c r="D150" s="17" t="s">
        <v>181</v>
      </c>
      <c r="E150" s="17" t="s">
        <v>232</v>
      </c>
      <c r="F150" s="17" t="s">
        <v>482</v>
      </c>
      <c r="G150" s="17"/>
      <c r="H150" s="17">
        <v>28</v>
      </c>
      <c r="I150" s="17" t="s">
        <v>207</v>
      </c>
      <c r="J150" s="17" t="s">
        <v>238</v>
      </c>
      <c r="K150" s="17" t="s">
        <v>94</v>
      </c>
      <c r="L150" s="17" t="s">
        <v>155</v>
      </c>
      <c r="M150" s="17" t="s">
        <v>128</v>
      </c>
      <c r="N150" s="19" t="s">
        <v>513</v>
      </c>
      <c r="O150" s="17" t="s">
        <v>130</v>
      </c>
    </row>
    <row r="151" spans="1:15" ht="15" customHeight="1" x14ac:dyDescent="0.25">
      <c r="A151" s="20">
        <v>148</v>
      </c>
      <c r="B151" s="21" t="s">
        <v>99</v>
      </c>
      <c r="C151" s="20" t="s">
        <v>203</v>
      </c>
      <c r="D151" s="20" t="s">
        <v>314</v>
      </c>
      <c r="E151" s="20" t="s">
        <v>286</v>
      </c>
      <c r="F151" s="20" t="s">
        <v>142</v>
      </c>
      <c r="G151" s="20"/>
      <c r="H151" s="20">
        <v>12</v>
      </c>
      <c r="I151" s="20" t="s">
        <v>193</v>
      </c>
      <c r="J151" s="20" t="s">
        <v>213</v>
      </c>
      <c r="K151" s="20" t="s">
        <v>185</v>
      </c>
      <c r="L151" s="20" t="s">
        <v>177</v>
      </c>
      <c r="M151" s="20"/>
      <c r="N151" s="22" t="s">
        <v>514</v>
      </c>
      <c r="O151" s="20" t="s">
        <v>188</v>
      </c>
    </row>
    <row r="152" spans="1:15" ht="15" customHeight="1" x14ac:dyDescent="0.25">
      <c r="A152" s="17">
        <v>149</v>
      </c>
      <c r="B152" s="18" t="s">
        <v>103</v>
      </c>
      <c r="C152" s="17" t="s">
        <v>74</v>
      </c>
      <c r="D152" s="17" t="s">
        <v>259</v>
      </c>
      <c r="E152" s="17" t="s">
        <v>150</v>
      </c>
      <c r="F152" s="17" t="s">
        <v>246</v>
      </c>
      <c r="G152" s="17"/>
      <c r="H152" s="17">
        <v>12</v>
      </c>
      <c r="I152" s="17" t="s">
        <v>207</v>
      </c>
      <c r="J152" s="17" t="s">
        <v>219</v>
      </c>
      <c r="K152" s="17" t="s">
        <v>126</v>
      </c>
      <c r="L152" s="17" t="s">
        <v>138</v>
      </c>
      <c r="M152" s="17" t="s">
        <v>163</v>
      </c>
      <c r="N152" s="19" t="s">
        <v>515</v>
      </c>
      <c r="O152" s="17" t="s">
        <v>235</v>
      </c>
    </row>
    <row r="153" spans="1:15" ht="15" customHeight="1" x14ac:dyDescent="0.25">
      <c r="A153" s="20">
        <v>150</v>
      </c>
      <c r="B153" s="21" t="s">
        <v>106</v>
      </c>
      <c r="C153" s="20" t="s">
        <v>165</v>
      </c>
      <c r="D153" s="20" t="s">
        <v>516</v>
      </c>
      <c r="E153" s="20" t="s">
        <v>191</v>
      </c>
      <c r="F153" s="20" t="s">
        <v>440</v>
      </c>
      <c r="G153" s="20"/>
      <c r="H153" s="20">
        <v>7</v>
      </c>
      <c r="I153" s="20" t="s">
        <v>102</v>
      </c>
      <c r="J153" s="20" t="s">
        <v>153</v>
      </c>
      <c r="K153" s="20" t="s">
        <v>14</v>
      </c>
      <c r="L153" s="20" t="s">
        <v>155</v>
      </c>
      <c r="M153" s="20" t="s">
        <v>224</v>
      </c>
      <c r="N153" s="22" t="s">
        <v>517</v>
      </c>
      <c r="O153" s="20" t="s">
        <v>216</v>
      </c>
    </row>
  </sheetData>
  <autoFilter ref="A3:O3" xr:uid="{00000000-0009-0000-0000-000001000000}"/>
  <mergeCells count="1">
    <mergeCell ref="A1:O1"/>
  </mergeCells>
  <hyperlinks>
    <hyperlink ref="O2" location="'Project Overview'!A1" display="← Back to Project Overview" xr:uid="{00000000-0004-0000-01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53"/>
  <sheetViews>
    <sheetView zoomScaleNormal="100" workbookViewId="0">
      <pane ySplit="3" topLeftCell="A4" activePane="bottomLeft" state="frozen"/>
      <selection pane="bottomLeft" sqref="A1:P1"/>
    </sheetView>
  </sheetViews>
  <sheetFormatPr defaultColWidth="8.7109375" defaultRowHeight="15" x14ac:dyDescent="0.25"/>
  <cols>
    <col min="1" max="1" width="45" customWidth="1"/>
    <col min="2" max="2" width="44" customWidth="1"/>
    <col min="3" max="3" width="10" customWidth="1"/>
    <col min="4" max="4" width="17" customWidth="1"/>
    <col min="5" max="5" width="18" customWidth="1"/>
    <col min="6" max="7" width="22" customWidth="1"/>
    <col min="8" max="8" width="18" customWidth="1"/>
    <col min="9" max="9" width="14" customWidth="1"/>
    <col min="10" max="10" width="13" customWidth="1"/>
    <col min="11" max="11" width="11" customWidth="1"/>
    <col min="12" max="12" width="17" customWidth="1"/>
    <col min="13" max="13" width="8" customWidth="1"/>
    <col min="14" max="14" width="14" customWidth="1"/>
    <col min="15" max="15" width="24" customWidth="1"/>
    <col min="16" max="16" width="29" customWidth="1"/>
  </cols>
  <sheetData>
    <row r="1" spans="1:16" ht="25.5" customHeight="1" x14ac:dyDescent="0.25">
      <c r="A1" s="187" t="s">
        <v>518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</row>
    <row r="2" spans="1:16" ht="15" customHeight="1" x14ac:dyDescent="0.25">
      <c r="P2" s="139" t="s">
        <v>111</v>
      </c>
    </row>
    <row r="3" spans="1:16" ht="31.5" customHeight="1" x14ac:dyDescent="0.25">
      <c r="A3" s="16" t="s">
        <v>112</v>
      </c>
      <c r="B3" s="16" t="s">
        <v>113</v>
      </c>
      <c r="C3" s="16" t="s">
        <v>70</v>
      </c>
      <c r="D3" s="16" t="s">
        <v>114</v>
      </c>
      <c r="E3" s="16" t="s">
        <v>11</v>
      </c>
      <c r="F3" s="16" t="s">
        <v>7</v>
      </c>
      <c r="G3" s="16" t="s">
        <v>9</v>
      </c>
      <c r="H3" s="16" t="s">
        <v>115</v>
      </c>
      <c r="I3" s="16" t="s">
        <v>17</v>
      </c>
      <c r="J3" s="16" t="s">
        <v>116</v>
      </c>
      <c r="K3" s="16" t="s">
        <v>13</v>
      </c>
      <c r="L3" s="16" t="s">
        <v>117</v>
      </c>
      <c r="M3" s="16" t="s">
        <v>118</v>
      </c>
      <c r="N3" s="16" t="s">
        <v>519</v>
      </c>
      <c r="O3" s="16" t="s">
        <v>120</v>
      </c>
      <c r="P3" s="16" t="s">
        <v>520</v>
      </c>
    </row>
    <row r="4" spans="1:16" ht="15" customHeight="1" x14ac:dyDescent="0.25">
      <c r="A4" s="23">
        <v>1</v>
      </c>
      <c r="B4" s="24" t="s">
        <v>71</v>
      </c>
      <c r="C4" s="23" t="s">
        <v>74</v>
      </c>
      <c r="D4" s="23" t="s">
        <v>227</v>
      </c>
      <c r="E4" s="23" t="s">
        <v>123</v>
      </c>
      <c r="F4" s="25">
        <v>45375</v>
      </c>
      <c r="G4" s="25">
        <v>45385</v>
      </c>
      <c r="H4" s="23">
        <v>10</v>
      </c>
      <c r="I4" s="23" t="s">
        <v>76</v>
      </c>
      <c r="J4" s="26">
        <v>1</v>
      </c>
      <c r="K4" s="23" t="s">
        <v>83</v>
      </c>
      <c r="L4" s="27">
        <v>2000</v>
      </c>
      <c r="M4" s="23">
        <v>140</v>
      </c>
      <c r="N4" s="27">
        <v>529370</v>
      </c>
      <c r="O4" s="23" t="s">
        <v>172</v>
      </c>
      <c r="P4" s="23" t="s">
        <v>521</v>
      </c>
    </row>
    <row r="5" spans="1:16" ht="15" customHeight="1" x14ac:dyDescent="0.25">
      <c r="A5" s="28">
        <v>2</v>
      </c>
      <c r="B5" s="29" t="s">
        <v>77</v>
      </c>
      <c r="C5" s="28" t="s">
        <v>87</v>
      </c>
      <c r="D5" s="28" t="s">
        <v>122</v>
      </c>
      <c r="E5" s="28" t="s">
        <v>232</v>
      </c>
      <c r="F5" s="30">
        <v>45420</v>
      </c>
      <c r="G5" s="30">
        <v>45427</v>
      </c>
      <c r="H5" s="28">
        <v>7</v>
      </c>
      <c r="I5" s="28" t="s">
        <v>18</v>
      </c>
      <c r="J5" s="31">
        <v>1</v>
      </c>
      <c r="K5" s="28" t="s">
        <v>75</v>
      </c>
      <c r="L5" s="32">
        <v>4000</v>
      </c>
      <c r="M5" s="28">
        <v>100</v>
      </c>
      <c r="N5" s="32">
        <v>860932</v>
      </c>
      <c r="O5" s="28" t="s">
        <v>172</v>
      </c>
      <c r="P5" s="28" t="s">
        <v>130</v>
      </c>
    </row>
    <row r="6" spans="1:16" ht="15" customHeight="1" x14ac:dyDescent="0.25">
      <c r="A6" s="28">
        <v>3</v>
      </c>
      <c r="B6" s="29" t="s">
        <v>80</v>
      </c>
      <c r="C6" s="28" t="s">
        <v>98</v>
      </c>
      <c r="D6" s="28" t="s">
        <v>122</v>
      </c>
      <c r="E6" s="28" t="s">
        <v>286</v>
      </c>
      <c r="F6" s="30">
        <v>45338</v>
      </c>
      <c r="G6" s="30">
        <v>45350</v>
      </c>
      <c r="H6" s="28">
        <v>12</v>
      </c>
      <c r="I6" s="28" t="s">
        <v>18</v>
      </c>
      <c r="J6" s="31">
        <v>0</v>
      </c>
      <c r="K6" s="28" t="s">
        <v>75</v>
      </c>
      <c r="L6" s="32">
        <v>4200</v>
      </c>
      <c r="M6" s="28">
        <v>140</v>
      </c>
      <c r="N6" s="32">
        <v>589906</v>
      </c>
      <c r="O6" s="28" t="s">
        <v>130</v>
      </c>
      <c r="P6" s="28" t="s">
        <v>521</v>
      </c>
    </row>
    <row r="7" spans="1:16" ht="15" customHeight="1" x14ac:dyDescent="0.25">
      <c r="A7" s="23">
        <v>4</v>
      </c>
      <c r="B7" s="24" t="s">
        <v>84</v>
      </c>
      <c r="C7" s="23" t="s">
        <v>109</v>
      </c>
      <c r="D7" s="23" t="s">
        <v>122</v>
      </c>
      <c r="E7" s="23" t="s">
        <v>182</v>
      </c>
      <c r="F7" s="25">
        <v>45341</v>
      </c>
      <c r="G7" s="25">
        <v>45348</v>
      </c>
      <c r="H7" s="23">
        <v>7</v>
      </c>
      <c r="I7" s="23" t="s">
        <v>76</v>
      </c>
      <c r="J7" s="26">
        <v>0.75</v>
      </c>
      <c r="K7" s="23" t="s">
        <v>83</v>
      </c>
      <c r="L7" s="27">
        <v>4200</v>
      </c>
      <c r="M7" s="23">
        <v>0</v>
      </c>
      <c r="N7" s="27">
        <v>654239</v>
      </c>
      <c r="O7" s="23" t="s">
        <v>235</v>
      </c>
      <c r="P7" s="23" t="s">
        <v>522</v>
      </c>
    </row>
    <row r="8" spans="1:16" ht="15" customHeight="1" x14ac:dyDescent="0.25">
      <c r="A8" s="28">
        <v>5</v>
      </c>
      <c r="B8" s="29" t="s">
        <v>88</v>
      </c>
      <c r="C8" s="28" t="s">
        <v>74</v>
      </c>
      <c r="D8" s="28" t="s">
        <v>245</v>
      </c>
      <c r="E8" s="28" t="s">
        <v>159</v>
      </c>
      <c r="F8" s="30">
        <v>45346</v>
      </c>
      <c r="G8" s="30">
        <v>45374</v>
      </c>
      <c r="H8" s="28">
        <v>28</v>
      </c>
      <c r="I8" s="28" t="s">
        <v>18</v>
      </c>
      <c r="J8" s="31">
        <v>0</v>
      </c>
      <c r="K8" s="28" t="s">
        <v>75</v>
      </c>
      <c r="L8" s="32">
        <v>4200</v>
      </c>
      <c r="M8" s="28">
        <v>0</v>
      </c>
      <c r="N8" s="32">
        <v>113184</v>
      </c>
      <c r="O8" s="28" t="s">
        <v>235</v>
      </c>
      <c r="P8" s="28" t="s">
        <v>523</v>
      </c>
    </row>
    <row r="9" spans="1:16" ht="15" customHeight="1" x14ac:dyDescent="0.25">
      <c r="A9" s="28">
        <v>6</v>
      </c>
      <c r="B9" s="29" t="s">
        <v>91</v>
      </c>
      <c r="C9" s="28" t="s">
        <v>87</v>
      </c>
      <c r="D9" s="28" t="s">
        <v>245</v>
      </c>
      <c r="E9" s="28" t="s">
        <v>123</v>
      </c>
      <c r="F9" s="30">
        <v>45433</v>
      </c>
      <c r="G9" s="30">
        <v>45440</v>
      </c>
      <c r="H9" s="28">
        <v>7</v>
      </c>
      <c r="I9" s="28" t="s">
        <v>18</v>
      </c>
      <c r="J9" s="31">
        <v>1</v>
      </c>
      <c r="K9" s="28" t="s">
        <v>75</v>
      </c>
      <c r="L9" s="32">
        <v>5500</v>
      </c>
      <c r="M9" s="28">
        <v>168</v>
      </c>
      <c r="N9" s="32">
        <v>817541</v>
      </c>
      <c r="O9" s="28" t="s">
        <v>172</v>
      </c>
      <c r="P9" s="28" t="s">
        <v>521</v>
      </c>
    </row>
    <row r="10" spans="1:16" ht="15" customHeight="1" x14ac:dyDescent="0.25">
      <c r="A10" s="33">
        <v>7</v>
      </c>
      <c r="B10" s="34" t="s">
        <v>95</v>
      </c>
      <c r="C10" s="33" t="s">
        <v>98</v>
      </c>
      <c r="D10" s="33" t="s">
        <v>6</v>
      </c>
      <c r="E10" s="33" t="s">
        <v>232</v>
      </c>
      <c r="F10" s="35">
        <v>45412</v>
      </c>
      <c r="G10" s="35">
        <v>45426</v>
      </c>
      <c r="H10" s="33">
        <v>14</v>
      </c>
      <c r="I10" s="33" t="s">
        <v>102</v>
      </c>
      <c r="J10" s="36">
        <v>1</v>
      </c>
      <c r="K10" s="33" t="s">
        <v>83</v>
      </c>
      <c r="L10" s="37">
        <v>5500</v>
      </c>
      <c r="M10" s="33">
        <v>168</v>
      </c>
      <c r="N10" s="37">
        <v>43413</v>
      </c>
      <c r="O10" s="33" t="s">
        <v>130</v>
      </c>
      <c r="P10" s="33" t="s">
        <v>522</v>
      </c>
    </row>
    <row r="11" spans="1:16" ht="15" customHeight="1" x14ac:dyDescent="0.25">
      <c r="A11" s="28">
        <v>8</v>
      </c>
      <c r="B11" s="29" t="s">
        <v>99</v>
      </c>
      <c r="C11" s="28" t="s">
        <v>109</v>
      </c>
      <c r="D11" s="28" t="s">
        <v>6</v>
      </c>
      <c r="E11" s="28" t="s">
        <v>286</v>
      </c>
      <c r="F11" s="30">
        <v>45302</v>
      </c>
      <c r="G11" s="30">
        <v>45330</v>
      </c>
      <c r="H11" s="28">
        <v>28</v>
      </c>
      <c r="I11" s="28" t="s">
        <v>18</v>
      </c>
      <c r="J11" s="31">
        <v>0</v>
      </c>
      <c r="K11" s="28" t="s">
        <v>126</v>
      </c>
      <c r="L11" s="32">
        <v>3500</v>
      </c>
      <c r="M11" s="28">
        <v>0</v>
      </c>
      <c r="N11" s="32">
        <v>88674</v>
      </c>
      <c r="O11" s="28" t="s">
        <v>130</v>
      </c>
      <c r="P11" s="28" t="s">
        <v>524</v>
      </c>
    </row>
    <row r="12" spans="1:16" ht="15" customHeight="1" x14ac:dyDescent="0.25">
      <c r="A12" s="28">
        <v>9</v>
      </c>
      <c r="B12" s="29" t="s">
        <v>103</v>
      </c>
      <c r="C12" s="28" t="s">
        <v>74</v>
      </c>
      <c r="D12" s="28" t="s">
        <v>173</v>
      </c>
      <c r="E12" s="28" t="s">
        <v>182</v>
      </c>
      <c r="F12" s="30">
        <v>45316</v>
      </c>
      <c r="G12" s="30">
        <v>45326</v>
      </c>
      <c r="H12" s="28">
        <v>10</v>
      </c>
      <c r="I12" s="28" t="s">
        <v>18</v>
      </c>
      <c r="J12" s="31">
        <v>0</v>
      </c>
      <c r="K12" s="28" t="s">
        <v>75</v>
      </c>
      <c r="L12" s="32">
        <v>5500</v>
      </c>
      <c r="M12" s="28">
        <v>0</v>
      </c>
      <c r="N12" s="32">
        <v>400094</v>
      </c>
      <c r="O12" s="28" t="s">
        <v>130</v>
      </c>
      <c r="P12" s="28" t="s">
        <v>130</v>
      </c>
    </row>
    <row r="13" spans="1:16" ht="15" customHeight="1" x14ac:dyDescent="0.25">
      <c r="A13" s="23">
        <v>10</v>
      </c>
      <c r="B13" s="24" t="s">
        <v>106</v>
      </c>
      <c r="C13" s="23" t="s">
        <v>87</v>
      </c>
      <c r="D13" s="23" t="s">
        <v>298</v>
      </c>
      <c r="E13" s="23" t="s">
        <v>159</v>
      </c>
      <c r="F13" s="25">
        <v>45307</v>
      </c>
      <c r="G13" s="25">
        <v>45321</v>
      </c>
      <c r="H13" s="23">
        <v>14</v>
      </c>
      <c r="I13" s="23" t="s">
        <v>76</v>
      </c>
      <c r="J13" s="26">
        <v>0.75</v>
      </c>
      <c r="K13" s="23" t="s">
        <v>75</v>
      </c>
      <c r="L13" s="27">
        <v>2000</v>
      </c>
      <c r="M13" s="23">
        <v>120</v>
      </c>
      <c r="N13" s="27">
        <v>122449</v>
      </c>
      <c r="O13" s="23" t="s">
        <v>130</v>
      </c>
      <c r="P13" s="23" t="s">
        <v>522</v>
      </c>
    </row>
    <row r="14" spans="1:16" ht="15" customHeight="1" x14ac:dyDescent="0.25">
      <c r="A14" s="23">
        <v>11</v>
      </c>
      <c r="B14" s="24" t="s">
        <v>71</v>
      </c>
      <c r="C14" s="23" t="s">
        <v>98</v>
      </c>
      <c r="D14" s="23" t="s">
        <v>181</v>
      </c>
      <c r="E14" s="23" t="s">
        <v>123</v>
      </c>
      <c r="F14" s="25">
        <v>45413</v>
      </c>
      <c r="G14" s="25">
        <v>45420</v>
      </c>
      <c r="H14" s="23">
        <v>7</v>
      </c>
      <c r="I14" s="23" t="s">
        <v>76</v>
      </c>
      <c r="J14" s="26">
        <v>0.4</v>
      </c>
      <c r="K14" s="23" t="s">
        <v>83</v>
      </c>
      <c r="L14" s="27">
        <v>3000</v>
      </c>
      <c r="M14" s="23">
        <v>80</v>
      </c>
      <c r="N14" s="27">
        <v>199370</v>
      </c>
      <c r="O14" s="23" t="s">
        <v>210</v>
      </c>
      <c r="P14" s="23" t="s">
        <v>521</v>
      </c>
    </row>
    <row r="15" spans="1:16" ht="15" customHeight="1" x14ac:dyDescent="0.25">
      <c r="A15" s="23">
        <v>12</v>
      </c>
      <c r="B15" s="24" t="s">
        <v>84</v>
      </c>
      <c r="C15" s="23" t="s">
        <v>109</v>
      </c>
      <c r="D15" s="23" t="s">
        <v>122</v>
      </c>
      <c r="E15" s="23" t="s">
        <v>182</v>
      </c>
      <c r="F15" s="25">
        <v>45341</v>
      </c>
      <c r="G15" s="25">
        <v>45348</v>
      </c>
      <c r="H15" s="23">
        <v>7</v>
      </c>
      <c r="I15" s="23" t="s">
        <v>76</v>
      </c>
      <c r="J15" s="26">
        <v>0.75</v>
      </c>
      <c r="K15" s="23" t="s">
        <v>83</v>
      </c>
      <c r="L15" s="27">
        <v>4200</v>
      </c>
      <c r="M15" s="23">
        <v>0</v>
      </c>
      <c r="N15" s="27">
        <v>654239</v>
      </c>
      <c r="O15" s="23" t="s">
        <v>235</v>
      </c>
      <c r="P15" s="23" t="s">
        <v>522</v>
      </c>
    </row>
    <row r="16" spans="1:16" ht="15" customHeight="1" x14ac:dyDescent="0.25">
      <c r="A16" s="28">
        <v>13</v>
      </c>
      <c r="B16" s="29" t="s">
        <v>80</v>
      </c>
      <c r="C16" s="28" t="s">
        <v>74</v>
      </c>
      <c r="D16" s="28" t="s">
        <v>413</v>
      </c>
      <c r="E16" s="28" t="s">
        <v>286</v>
      </c>
      <c r="F16" s="30">
        <v>45412</v>
      </c>
      <c r="G16" s="30">
        <v>45433</v>
      </c>
      <c r="H16" s="28">
        <v>21</v>
      </c>
      <c r="I16" s="28" t="s">
        <v>18</v>
      </c>
      <c r="J16" s="31">
        <v>0.65</v>
      </c>
      <c r="K16" s="28" t="s">
        <v>94</v>
      </c>
      <c r="L16" s="32">
        <v>3500</v>
      </c>
      <c r="M16" s="28">
        <v>140</v>
      </c>
      <c r="N16" s="32">
        <v>505778</v>
      </c>
      <c r="O16" s="28" t="s">
        <v>172</v>
      </c>
      <c r="P16" s="28" t="s">
        <v>522</v>
      </c>
    </row>
    <row r="17" spans="1:16" ht="15" customHeight="1" x14ac:dyDescent="0.25">
      <c r="A17" s="23">
        <v>14</v>
      </c>
      <c r="B17" s="24" t="s">
        <v>84</v>
      </c>
      <c r="C17" s="23" t="s">
        <v>87</v>
      </c>
      <c r="D17" s="23" t="s">
        <v>211</v>
      </c>
      <c r="E17" s="23" t="s">
        <v>182</v>
      </c>
      <c r="F17" s="25">
        <v>45416</v>
      </c>
      <c r="G17" s="25">
        <v>45423</v>
      </c>
      <c r="H17" s="23">
        <v>7</v>
      </c>
      <c r="I17" s="23" t="s">
        <v>76</v>
      </c>
      <c r="J17" s="26">
        <v>0.75</v>
      </c>
      <c r="K17" s="23" t="s">
        <v>75</v>
      </c>
      <c r="L17" s="27">
        <v>3000</v>
      </c>
      <c r="M17" s="23">
        <v>60</v>
      </c>
      <c r="N17" s="27">
        <v>124309</v>
      </c>
      <c r="O17" s="23" t="s">
        <v>235</v>
      </c>
      <c r="P17" s="23" t="s">
        <v>130</v>
      </c>
    </row>
    <row r="18" spans="1:16" ht="15" customHeight="1" x14ac:dyDescent="0.25">
      <c r="A18" s="23">
        <v>15</v>
      </c>
      <c r="B18" s="24" t="s">
        <v>88</v>
      </c>
      <c r="C18" s="23" t="s">
        <v>98</v>
      </c>
      <c r="D18" s="23" t="s">
        <v>204</v>
      </c>
      <c r="E18" s="23" t="s">
        <v>159</v>
      </c>
      <c r="F18" s="25">
        <v>45313</v>
      </c>
      <c r="G18" s="25">
        <v>45327</v>
      </c>
      <c r="H18" s="23">
        <v>14</v>
      </c>
      <c r="I18" s="23" t="s">
        <v>76</v>
      </c>
      <c r="J18" s="26">
        <v>0.75</v>
      </c>
      <c r="K18" s="23" t="s">
        <v>75</v>
      </c>
      <c r="L18" s="27">
        <v>4000</v>
      </c>
      <c r="M18" s="23">
        <v>140</v>
      </c>
      <c r="N18" s="27">
        <v>512606</v>
      </c>
      <c r="O18" s="23" t="s">
        <v>130</v>
      </c>
      <c r="P18" s="23" t="s">
        <v>130</v>
      </c>
    </row>
    <row r="19" spans="1:16" ht="15" customHeight="1" x14ac:dyDescent="0.25">
      <c r="A19" s="33">
        <v>16</v>
      </c>
      <c r="B19" s="34" t="s">
        <v>91</v>
      </c>
      <c r="C19" s="33" t="s">
        <v>109</v>
      </c>
      <c r="D19" s="33" t="s">
        <v>140</v>
      </c>
      <c r="E19" s="33" t="s">
        <v>123</v>
      </c>
      <c r="F19" s="35">
        <v>45394</v>
      </c>
      <c r="G19" s="35">
        <v>45404</v>
      </c>
      <c r="H19" s="33">
        <v>10</v>
      </c>
      <c r="I19" s="33" t="s">
        <v>102</v>
      </c>
      <c r="J19" s="36">
        <v>1</v>
      </c>
      <c r="K19" s="33" t="s">
        <v>126</v>
      </c>
      <c r="L19" s="37">
        <v>3500</v>
      </c>
      <c r="M19" s="33">
        <v>140</v>
      </c>
      <c r="N19" s="37">
        <v>120324</v>
      </c>
      <c r="O19" s="33" t="s">
        <v>226</v>
      </c>
      <c r="P19" s="33" t="s">
        <v>523</v>
      </c>
    </row>
    <row r="20" spans="1:16" ht="15" customHeight="1" x14ac:dyDescent="0.25">
      <c r="A20" s="33">
        <v>17</v>
      </c>
      <c r="B20" s="34" t="s">
        <v>95</v>
      </c>
      <c r="C20" s="33" t="s">
        <v>74</v>
      </c>
      <c r="D20" s="33" t="s">
        <v>227</v>
      </c>
      <c r="E20" s="33" t="s">
        <v>232</v>
      </c>
      <c r="F20" s="35">
        <v>45363</v>
      </c>
      <c r="G20" s="35">
        <v>45375</v>
      </c>
      <c r="H20" s="33">
        <v>12</v>
      </c>
      <c r="I20" s="33" t="s">
        <v>102</v>
      </c>
      <c r="J20" s="36">
        <v>0.75</v>
      </c>
      <c r="K20" s="33" t="s">
        <v>126</v>
      </c>
      <c r="L20" s="37">
        <v>5500</v>
      </c>
      <c r="M20" s="33">
        <v>168</v>
      </c>
      <c r="N20" s="37">
        <v>558822</v>
      </c>
      <c r="O20" s="33" t="s">
        <v>130</v>
      </c>
      <c r="P20" s="33" t="s">
        <v>524</v>
      </c>
    </row>
    <row r="21" spans="1:16" ht="15" customHeight="1" x14ac:dyDescent="0.25">
      <c r="A21" s="33">
        <v>18</v>
      </c>
      <c r="B21" s="34" t="s">
        <v>99</v>
      </c>
      <c r="C21" s="33" t="s">
        <v>87</v>
      </c>
      <c r="D21" s="33" t="s">
        <v>122</v>
      </c>
      <c r="E21" s="33" t="s">
        <v>286</v>
      </c>
      <c r="F21" s="35">
        <v>45388</v>
      </c>
      <c r="G21" s="35">
        <v>45416</v>
      </c>
      <c r="H21" s="33">
        <v>28</v>
      </c>
      <c r="I21" s="33" t="s">
        <v>102</v>
      </c>
      <c r="J21" s="36">
        <v>0</v>
      </c>
      <c r="K21" s="33" t="s">
        <v>94</v>
      </c>
      <c r="L21" s="37">
        <v>3500</v>
      </c>
      <c r="M21" s="33">
        <v>80</v>
      </c>
      <c r="N21" s="37">
        <v>182082</v>
      </c>
      <c r="O21" s="33" t="s">
        <v>210</v>
      </c>
      <c r="P21" s="33" t="s">
        <v>523</v>
      </c>
    </row>
    <row r="22" spans="1:16" ht="15" customHeight="1" x14ac:dyDescent="0.25">
      <c r="A22" s="33">
        <v>19</v>
      </c>
      <c r="B22" s="34" t="s">
        <v>103</v>
      </c>
      <c r="C22" s="33" t="s">
        <v>98</v>
      </c>
      <c r="D22" s="33" t="s">
        <v>158</v>
      </c>
      <c r="E22" s="33" t="s">
        <v>182</v>
      </c>
      <c r="F22" s="35">
        <v>45304</v>
      </c>
      <c r="G22" s="35">
        <v>45314</v>
      </c>
      <c r="H22" s="33">
        <v>10</v>
      </c>
      <c r="I22" s="33" t="s">
        <v>102</v>
      </c>
      <c r="J22" s="36">
        <v>0.65</v>
      </c>
      <c r="K22" s="33" t="s">
        <v>75</v>
      </c>
      <c r="L22" s="37">
        <v>2000</v>
      </c>
      <c r="M22" s="33">
        <v>80</v>
      </c>
      <c r="N22" s="37">
        <v>700521</v>
      </c>
      <c r="O22" s="33" t="s">
        <v>210</v>
      </c>
      <c r="P22" s="33" t="s">
        <v>523</v>
      </c>
    </row>
    <row r="23" spans="1:16" ht="15" customHeight="1" x14ac:dyDescent="0.25">
      <c r="A23" s="33">
        <v>20</v>
      </c>
      <c r="B23" s="34" t="s">
        <v>106</v>
      </c>
      <c r="C23" s="33" t="s">
        <v>109</v>
      </c>
      <c r="D23" s="33" t="s">
        <v>236</v>
      </c>
      <c r="E23" s="33" t="s">
        <v>159</v>
      </c>
      <c r="F23" s="35">
        <v>45379</v>
      </c>
      <c r="G23" s="35">
        <v>45386</v>
      </c>
      <c r="H23" s="33">
        <v>7</v>
      </c>
      <c r="I23" s="33" t="s">
        <v>102</v>
      </c>
      <c r="J23" s="36">
        <v>0</v>
      </c>
      <c r="K23" s="33" t="s">
        <v>126</v>
      </c>
      <c r="L23" s="37">
        <v>5000</v>
      </c>
      <c r="M23" s="33">
        <v>140</v>
      </c>
      <c r="N23" s="37">
        <v>112639</v>
      </c>
      <c r="O23" s="33" t="s">
        <v>226</v>
      </c>
      <c r="P23" s="33" t="s">
        <v>525</v>
      </c>
    </row>
    <row r="24" spans="1:16" ht="15" customHeight="1" x14ac:dyDescent="0.25">
      <c r="A24" s="28">
        <v>21</v>
      </c>
      <c r="B24" s="29" t="s">
        <v>71</v>
      </c>
      <c r="C24" s="28" t="s">
        <v>74</v>
      </c>
      <c r="D24" s="28" t="s">
        <v>337</v>
      </c>
      <c r="E24" s="28" t="s">
        <v>123</v>
      </c>
      <c r="F24" s="30">
        <v>45293</v>
      </c>
      <c r="G24" s="30">
        <v>45300</v>
      </c>
      <c r="H24" s="28">
        <v>7</v>
      </c>
      <c r="I24" s="28" t="s">
        <v>18</v>
      </c>
      <c r="J24" s="31">
        <v>0.5</v>
      </c>
      <c r="K24" s="28" t="s">
        <v>83</v>
      </c>
      <c r="L24" s="32">
        <v>4000</v>
      </c>
      <c r="M24" s="28">
        <v>80</v>
      </c>
      <c r="N24" s="32">
        <v>480743</v>
      </c>
      <c r="O24" s="28" t="s">
        <v>130</v>
      </c>
      <c r="P24" s="28" t="s">
        <v>522</v>
      </c>
    </row>
    <row r="25" spans="1:16" ht="15" customHeight="1" x14ac:dyDescent="0.25">
      <c r="A25" s="23">
        <v>22</v>
      </c>
      <c r="B25" s="24" t="s">
        <v>77</v>
      </c>
      <c r="C25" s="23" t="s">
        <v>87</v>
      </c>
      <c r="D25" s="23" t="s">
        <v>245</v>
      </c>
      <c r="E25" s="23" t="s">
        <v>232</v>
      </c>
      <c r="F25" s="25">
        <v>45388</v>
      </c>
      <c r="G25" s="25">
        <v>45398</v>
      </c>
      <c r="H25" s="23">
        <v>10</v>
      </c>
      <c r="I25" s="23" t="s">
        <v>76</v>
      </c>
      <c r="J25" s="26">
        <v>1</v>
      </c>
      <c r="K25" s="23" t="s">
        <v>94</v>
      </c>
      <c r="L25" s="27">
        <v>4200</v>
      </c>
      <c r="M25" s="23">
        <v>140</v>
      </c>
      <c r="N25" s="27">
        <v>693929</v>
      </c>
      <c r="O25" s="23" t="s">
        <v>210</v>
      </c>
      <c r="P25" s="23" t="s">
        <v>130</v>
      </c>
    </row>
    <row r="26" spans="1:16" ht="15" customHeight="1" x14ac:dyDescent="0.25">
      <c r="A26" s="23">
        <v>23</v>
      </c>
      <c r="B26" s="24" t="s">
        <v>80</v>
      </c>
      <c r="C26" s="23" t="s">
        <v>98</v>
      </c>
      <c r="D26" s="23" t="s">
        <v>298</v>
      </c>
      <c r="E26" s="23" t="s">
        <v>286</v>
      </c>
      <c r="F26" s="25">
        <v>45314</v>
      </c>
      <c r="G26" s="25">
        <v>45321</v>
      </c>
      <c r="H26" s="23">
        <v>7</v>
      </c>
      <c r="I26" s="23" t="s">
        <v>76</v>
      </c>
      <c r="J26" s="26">
        <v>0.65</v>
      </c>
      <c r="K26" s="23" t="s">
        <v>126</v>
      </c>
      <c r="L26" s="27">
        <v>5000</v>
      </c>
      <c r="M26" s="23">
        <v>80</v>
      </c>
      <c r="N26" s="27">
        <v>217008</v>
      </c>
      <c r="O26" s="23" t="s">
        <v>130</v>
      </c>
      <c r="P26" s="23" t="s">
        <v>521</v>
      </c>
    </row>
    <row r="27" spans="1:16" ht="15" customHeight="1" x14ac:dyDescent="0.25">
      <c r="A27" s="28">
        <v>24</v>
      </c>
      <c r="B27" s="29" t="s">
        <v>84</v>
      </c>
      <c r="C27" s="28" t="s">
        <v>109</v>
      </c>
      <c r="D27" s="28" t="s">
        <v>173</v>
      </c>
      <c r="E27" s="28" t="s">
        <v>182</v>
      </c>
      <c r="F27" s="30">
        <v>45437</v>
      </c>
      <c r="G27" s="30">
        <v>45465</v>
      </c>
      <c r="H27" s="28">
        <v>28</v>
      </c>
      <c r="I27" s="28" t="s">
        <v>18</v>
      </c>
      <c r="J27" s="31">
        <v>0.5</v>
      </c>
      <c r="K27" s="28" t="s">
        <v>94</v>
      </c>
      <c r="L27" s="32">
        <v>3000</v>
      </c>
      <c r="M27" s="28">
        <v>120</v>
      </c>
      <c r="N27" s="32">
        <v>539617</v>
      </c>
      <c r="O27" s="28" t="s">
        <v>130</v>
      </c>
      <c r="P27" s="28" t="s">
        <v>130</v>
      </c>
    </row>
    <row r="28" spans="1:16" ht="15" customHeight="1" x14ac:dyDescent="0.25">
      <c r="A28" s="28">
        <v>25</v>
      </c>
      <c r="B28" s="29" t="s">
        <v>88</v>
      </c>
      <c r="C28" s="28" t="s">
        <v>74</v>
      </c>
      <c r="D28" s="28" t="s">
        <v>173</v>
      </c>
      <c r="E28" s="28" t="s">
        <v>159</v>
      </c>
      <c r="F28" s="30">
        <v>45434</v>
      </c>
      <c r="G28" s="30">
        <v>45444</v>
      </c>
      <c r="H28" s="28">
        <v>10</v>
      </c>
      <c r="I28" s="28" t="s">
        <v>18</v>
      </c>
      <c r="J28" s="31">
        <v>0.25</v>
      </c>
      <c r="K28" s="28" t="s">
        <v>75</v>
      </c>
      <c r="L28" s="32">
        <v>5500</v>
      </c>
      <c r="M28" s="28">
        <v>140</v>
      </c>
      <c r="N28" s="32">
        <v>704703</v>
      </c>
      <c r="O28" s="28" t="s">
        <v>226</v>
      </c>
      <c r="P28" s="28" t="s">
        <v>523</v>
      </c>
    </row>
    <row r="29" spans="1:16" ht="15" customHeight="1" x14ac:dyDescent="0.25">
      <c r="A29" s="33">
        <v>26</v>
      </c>
      <c r="B29" s="34" t="s">
        <v>91</v>
      </c>
      <c r="C29" s="33" t="s">
        <v>87</v>
      </c>
      <c r="D29" s="33" t="s">
        <v>413</v>
      </c>
      <c r="E29" s="33" t="s">
        <v>123</v>
      </c>
      <c r="F29" s="35">
        <v>45401</v>
      </c>
      <c r="G29" s="35">
        <v>45411</v>
      </c>
      <c r="H29" s="33">
        <v>10</v>
      </c>
      <c r="I29" s="33" t="s">
        <v>102</v>
      </c>
      <c r="J29" s="36">
        <v>1</v>
      </c>
      <c r="K29" s="33" t="s">
        <v>94</v>
      </c>
      <c r="L29" s="37">
        <v>5000</v>
      </c>
      <c r="M29" s="33">
        <v>120</v>
      </c>
      <c r="N29" s="37">
        <v>296565</v>
      </c>
      <c r="O29" s="33" t="s">
        <v>226</v>
      </c>
      <c r="P29" s="33" t="s">
        <v>524</v>
      </c>
    </row>
    <row r="30" spans="1:16" ht="15" customHeight="1" x14ac:dyDescent="0.25">
      <c r="A30" s="33">
        <v>27</v>
      </c>
      <c r="B30" s="34" t="s">
        <v>95</v>
      </c>
      <c r="C30" s="33" t="s">
        <v>98</v>
      </c>
      <c r="D30" s="33" t="s">
        <v>181</v>
      </c>
      <c r="E30" s="33" t="s">
        <v>232</v>
      </c>
      <c r="F30" s="35">
        <v>45332</v>
      </c>
      <c r="G30" s="35">
        <v>45344</v>
      </c>
      <c r="H30" s="33">
        <v>12</v>
      </c>
      <c r="I30" s="33" t="s">
        <v>102</v>
      </c>
      <c r="J30" s="36">
        <v>1</v>
      </c>
      <c r="K30" s="33" t="s">
        <v>83</v>
      </c>
      <c r="L30" s="37">
        <v>3500</v>
      </c>
      <c r="M30" s="33">
        <v>0</v>
      </c>
      <c r="N30" s="37">
        <v>336639</v>
      </c>
      <c r="O30" s="33" t="s">
        <v>216</v>
      </c>
      <c r="P30" s="33" t="s">
        <v>525</v>
      </c>
    </row>
    <row r="31" spans="1:16" ht="15" customHeight="1" x14ac:dyDescent="0.25">
      <c r="A31" s="33">
        <v>28</v>
      </c>
      <c r="B31" s="34" t="s">
        <v>99</v>
      </c>
      <c r="C31" s="33" t="s">
        <v>109</v>
      </c>
      <c r="D31" s="33" t="s">
        <v>413</v>
      </c>
      <c r="E31" s="33" t="s">
        <v>286</v>
      </c>
      <c r="F31" s="35">
        <v>45316</v>
      </c>
      <c r="G31" s="35">
        <v>45330</v>
      </c>
      <c r="H31" s="33">
        <v>14</v>
      </c>
      <c r="I31" s="33" t="s">
        <v>102</v>
      </c>
      <c r="J31" s="36">
        <v>0.4</v>
      </c>
      <c r="K31" s="33" t="s">
        <v>75</v>
      </c>
      <c r="L31" s="37">
        <v>3500</v>
      </c>
      <c r="M31" s="33">
        <v>100</v>
      </c>
      <c r="N31" s="37">
        <v>39667</v>
      </c>
      <c r="O31" s="33" t="s">
        <v>216</v>
      </c>
      <c r="P31" s="33" t="s">
        <v>130</v>
      </c>
    </row>
    <row r="32" spans="1:16" ht="15" customHeight="1" x14ac:dyDescent="0.25">
      <c r="A32" s="33">
        <v>29</v>
      </c>
      <c r="B32" s="34" t="s">
        <v>103</v>
      </c>
      <c r="C32" s="33" t="s">
        <v>74</v>
      </c>
      <c r="D32" s="33" t="s">
        <v>204</v>
      </c>
      <c r="E32" s="33" t="s">
        <v>182</v>
      </c>
      <c r="F32" s="35">
        <v>45402</v>
      </c>
      <c r="G32" s="35">
        <v>45423</v>
      </c>
      <c r="H32" s="33">
        <v>21</v>
      </c>
      <c r="I32" s="33" t="s">
        <v>102</v>
      </c>
      <c r="J32" s="36">
        <v>0.75</v>
      </c>
      <c r="K32" s="33" t="s">
        <v>126</v>
      </c>
      <c r="L32" s="37">
        <v>4000</v>
      </c>
      <c r="M32" s="33">
        <v>80</v>
      </c>
      <c r="N32" s="37">
        <v>750418</v>
      </c>
      <c r="O32" s="33" t="s">
        <v>130</v>
      </c>
      <c r="P32" s="33" t="s">
        <v>524</v>
      </c>
    </row>
    <row r="33" spans="1:16" ht="15" customHeight="1" x14ac:dyDescent="0.25">
      <c r="A33" s="28">
        <v>30</v>
      </c>
      <c r="B33" s="29" t="s">
        <v>106</v>
      </c>
      <c r="C33" s="28" t="s">
        <v>87</v>
      </c>
      <c r="D33" s="28" t="s">
        <v>227</v>
      </c>
      <c r="E33" s="28" t="s">
        <v>159</v>
      </c>
      <c r="F33" s="30">
        <v>45383</v>
      </c>
      <c r="G33" s="30">
        <v>45397</v>
      </c>
      <c r="H33" s="28">
        <v>14</v>
      </c>
      <c r="I33" s="28" t="s">
        <v>18</v>
      </c>
      <c r="J33" s="31">
        <v>0.25</v>
      </c>
      <c r="K33" s="28" t="s">
        <v>126</v>
      </c>
      <c r="L33" s="32">
        <v>4000</v>
      </c>
      <c r="M33" s="28">
        <v>168</v>
      </c>
      <c r="N33" s="32">
        <v>611124</v>
      </c>
      <c r="O33" s="28" t="s">
        <v>130</v>
      </c>
      <c r="P33" s="28" t="s">
        <v>130</v>
      </c>
    </row>
    <row r="34" spans="1:16" ht="15" customHeight="1" x14ac:dyDescent="0.25">
      <c r="A34" s="28">
        <v>31</v>
      </c>
      <c r="B34" s="29" t="s">
        <v>71</v>
      </c>
      <c r="C34" s="28" t="s">
        <v>98</v>
      </c>
      <c r="D34" s="28" t="s">
        <v>227</v>
      </c>
      <c r="E34" s="28" t="s">
        <v>123</v>
      </c>
      <c r="F34" s="30">
        <v>45298</v>
      </c>
      <c r="G34" s="30">
        <v>45319</v>
      </c>
      <c r="H34" s="28">
        <v>21</v>
      </c>
      <c r="I34" s="28" t="s">
        <v>18</v>
      </c>
      <c r="J34" s="31">
        <v>0.5</v>
      </c>
      <c r="K34" s="28" t="s">
        <v>94</v>
      </c>
      <c r="L34" s="32">
        <v>4200</v>
      </c>
      <c r="M34" s="28">
        <v>0</v>
      </c>
      <c r="N34" s="32">
        <v>743704</v>
      </c>
      <c r="O34" s="28" t="s">
        <v>130</v>
      </c>
      <c r="P34" s="28" t="s">
        <v>130</v>
      </c>
    </row>
    <row r="35" spans="1:16" ht="15" customHeight="1" x14ac:dyDescent="0.25">
      <c r="A35" s="28">
        <v>32</v>
      </c>
      <c r="B35" s="29" t="s">
        <v>77</v>
      </c>
      <c r="C35" s="28" t="s">
        <v>109</v>
      </c>
      <c r="D35" s="28" t="s">
        <v>227</v>
      </c>
      <c r="E35" s="28" t="s">
        <v>232</v>
      </c>
      <c r="F35" s="30">
        <v>45391</v>
      </c>
      <c r="G35" s="30">
        <v>45403</v>
      </c>
      <c r="H35" s="28">
        <v>12</v>
      </c>
      <c r="I35" s="28" t="s">
        <v>18</v>
      </c>
      <c r="J35" s="31">
        <v>0.65</v>
      </c>
      <c r="K35" s="28" t="s">
        <v>94</v>
      </c>
      <c r="L35" s="32">
        <v>5500</v>
      </c>
      <c r="M35" s="28">
        <v>80</v>
      </c>
      <c r="N35" s="32">
        <v>397217</v>
      </c>
      <c r="O35" s="28" t="s">
        <v>226</v>
      </c>
      <c r="P35" s="28" t="s">
        <v>521</v>
      </c>
    </row>
    <row r="36" spans="1:16" ht="15" customHeight="1" x14ac:dyDescent="0.25">
      <c r="A36" s="23">
        <v>33</v>
      </c>
      <c r="B36" s="24" t="s">
        <v>80</v>
      </c>
      <c r="C36" s="23" t="s">
        <v>74</v>
      </c>
      <c r="D36" s="23" t="s">
        <v>140</v>
      </c>
      <c r="E36" s="23" t="s">
        <v>286</v>
      </c>
      <c r="F36" s="25">
        <v>45406</v>
      </c>
      <c r="G36" s="25">
        <v>45434</v>
      </c>
      <c r="H36" s="23">
        <v>28</v>
      </c>
      <c r="I36" s="23" t="s">
        <v>76</v>
      </c>
      <c r="J36" s="26">
        <v>0</v>
      </c>
      <c r="K36" s="23" t="s">
        <v>83</v>
      </c>
      <c r="L36" s="27">
        <v>4000</v>
      </c>
      <c r="M36" s="23">
        <v>140</v>
      </c>
      <c r="N36" s="27">
        <v>390182</v>
      </c>
      <c r="O36" s="23" t="s">
        <v>226</v>
      </c>
      <c r="P36" s="23" t="s">
        <v>522</v>
      </c>
    </row>
    <row r="37" spans="1:16" ht="15" customHeight="1" x14ac:dyDescent="0.25">
      <c r="A37" s="23">
        <v>34</v>
      </c>
      <c r="B37" s="24" t="s">
        <v>84</v>
      </c>
      <c r="C37" s="23" t="s">
        <v>87</v>
      </c>
      <c r="D37" s="23" t="s">
        <v>158</v>
      </c>
      <c r="E37" s="23" t="s">
        <v>182</v>
      </c>
      <c r="F37" s="25">
        <v>45357</v>
      </c>
      <c r="G37" s="25">
        <v>45367</v>
      </c>
      <c r="H37" s="23">
        <v>10</v>
      </c>
      <c r="I37" s="23" t="s">
        <v>76</v>
      </c>
      <c r="J37" s="26">
        <v>0.5</v>
      </c>
      <c r="K37" s="23" t="s">
        <v>94</v>
      </c>
      <c r="L37" s="27">
        <v>5000</v>
      </c>
      <c r="M37" s="23">
        <v>60</v>
      </c>
      <c r="N37" s="27">
        <v>526156</v>
      </c>
      <c r="O37" s="23" t="s">
        <v>235</v>
      </c>
      <c r="P37" s="23" t="s">
        <v>130</v>
      </c>
    </row>
    <row r="38" spans="1:16" ht="15" customHeight="1" x14ac:dyDescent="0.25">
      <c r="A38" s="23">
        <v>35</v>
      </c>
      <c r="B38" s="24" t="s">
        <v>88</v>
      </c>
      <c r="C38" s="23" t="s">
        <v>98</v>
      </c>
      <c r="D38" s="23" t="s">
        <v>245</v>
      </c>
      <c r="E38" s="23" t="s">
        <v>159</v>
      </c>
      <c r="F38" s="25">
        <v>45402</v>
      </c>
      <c r="G38" s="25">
        <v>45412</v>
      </c>
      <c r="H38" s="23">
        <v>10</v>
      </c>
      <c r="I38" s="23" t="s">
        <v>76</v>
      </c>
      <c r="J38" s="26">
        <v>0.5</v>
      </c>
      <c r="K38" s="23" t="s">
        <v>75</v>
      </c>
      <c r="L38" s="27">
        <v>2000</v>
      </c>
      <c r="M38" s="23">
        <v>168</v>
      </c>
      <c r="N38" s="27">
        <v>52880</v>
      </c>
      <c r="O38" s="23" t="s">
        <v>235</v>
      </c>
      <c r="P38" s="23" t="s">
        <v>522</v>
      </c>
    </row>
    <row r="39" spans="1:16" ht="15" customHeight="1" x14ac:dyDescent="0.25">
      <c r="A39" s="28">
        <v>36</v>
      </c>
      <c r="B39" s="29" t="s">
        <v>91</v>
      </c>
      <c r="C39" s="28" t="s">
        <v>109</v>
      </c>
      <c r="D39" s="28" t="s">
        <v>158</v>
      </c>
      <c r="E39" s="28" t="s">
        <v>123</v>
      </c>
      <c r="F39" s="30">
        <v>45383</v>
      </c>
      <c r="G39" s="30">
        <v>45397</v>
      </c>
      <c r="H39" s="28">
        <v>14</v>
      </c>
      <c r="I39" s="28" t="s">
        <v>18</v>
      </c>
      <c r="J39" s="31">
        <v>0.5</v>
      </c>
      <c r="K39" s="28" t="s">
        <v>94</v>
      </c>
      <c r="L39" s="32">
        <v>4200</v>
      </c>
      <c r="M39" s="28">
        <v>80</v>
      </c>
      <c r="N39" s="32">
        <v>233464</v>
      </c>
      <c r="O39" s="28" t="s">
        <v>226</v>
      </c>
      <c r="P39" s="28" t="s">
        <v>130</v>
      </c>
    </row>
    <row r="40" spans="1:16" ht="15" customHeight="1" x14ac:dyDescent="0.25">
      <c r="A40" s="23">
        <v>37</v>
      </c>
      <c r="B40" s="24" t="s">
        <v>95</v>
      </c>
      <c r="C40" s="23" t="s">
        <v>74</v>
      </c>
      <c r="D40" s="23" t="s">
        <v>245</v>
      </c>
      <c r="E40" s="23" t="s">
        <v>232</v>
      </c>
      <c r="F40" s="25">
        <v>45441</v>
      </c>
      <c r="G40" s="25">
        <v>45469</v>
      </c>
      <c r="H40" s="23">
        <v>28</v>
      </c>
      <c r="I40" s="23" t="s">
        <v>76</v>
      </c>
      <c r="J40" s="26">
        <v>0.25</v>
      </c>
      <c r="K40" s="23" t="s">
        <v>83</v>
      </c>
      <c r="L40" s="27">
        <v>5500</v>
      </c>
      <c r="M40" s="23">
        <v>120</v>
      </c>
      <c r="N40" s="27">
        <v>320849</v>
      </c>
      <c r="O40" s="23" t="s">
        <v>226</v>
      </c>
      <c r="P40" s="23" t="s">
        <v>523</v>
      </c>
    </row>
    <row r="41" spans="1:16" ht="15" customHeight="1" x14ac:dyDescent="0.25">
      <c r="A41" s="23">
        <v>38</v>
      </c>
      <c r="B41" s="24" t="s">
        <v>99</v>
      </c>
      <c r="C41" s="23" t="s">
        <v>87</v>
      </c>
      <c r="D41" s="23" t="s">
        <v>337</v>
      </c>
      <c r="E41" s="23" t="s">
        <v>286</v>
      </c>
      <c r="F41" s="25">
        <v>45431</v>
      </c>
      <c r="G41" s="25">
        <v>45452</v>
      </c>
      <c r="H41" s="23">
        <v>21</v>
      </c>
      <c r="I41" s="23" t="s">
        <v>76</v>
      </c>
      <c r="J41" s="26">
        <v>0.4</v>
      </c>
      <c r="K41" s="23" t="s">
        <v>83</v>
      </c>
      <c r="L41" s="27">
        <v>5000</v>
      </c>
      <c r="M41" s="23">
        <v>0</v>
      </c>
      <c r="N41" s="27">
        <v>769688</v>
      </c>
      <c r="O41" s="23" t="s">
        <v>130</v>
      </c>
      <c r="P41" s="23" t="s">
        <v>521</v>
      </c>
    </row>
    <row r="42" spans="1:16" ht="15" customHeight="1" x14ac:dyDescent="0.25">
      <c r="A42" s="28">
        <v>39</v>
      </c>
      <c r="B42" s="29" t="s">
        <v>103</v>
      </c>
      <c r="C42" s="28" t="s">
        <v>98</v>
      </c>
      <c r="D42" s="28" t="s">
        <v>6</v>
      </c>
      <c r="E42" s="28" t="s">
        <v>182</v>
      </c>
      <c r="F42" s="30">
        <v>45431</v>
      </c>
      <c r="G42" s="30">
        <v>45445</v>
      </c>
      <c r="H42" s="28">
        <v>14</v>
      </c>
      <c r="I42" s="28" t="s">
        <v>18</v>
      </c>
      <c r="J42" s="31">
        <v>0.75</v>
      </c>
      <c r="K42" s="28" t="s">
        <v>126</v>
      </c>
      <c r="L42" s="32">
        <v>4000</v>
      </c>
      <c r="M42" s="28">
        <v>0</v>
      </c>
      <c r="N42" s="32">
        <v>130808</v>
      </c>
      <c r="O42" s="28" t="s">
        <v>226</v>
      </c>
      <c r="P42" s="28" t="s">
        <v>521</v>
      </c>
    </row>
    <row r="43" spans="1:16" ht="15" customHeight="1" x14ac:dyDescent="0.25">
      <c r="A43" s="28">
        <v>40</v>
      </c>
      <c r="B43" s="29" t="s">
        <v>106</v>
      </c>
      <c r="C43" s="28" t="s">
        <v>109</v>
      </c>
      <c r="D43" s="28" t="s">
        <v>298</v>
      </c>
      <c r="E43" s="28" t="s">
        <v>159</v>
      </c>
      <c r="F43" s="30">
        <v>45419</v>
      </c>
      <c r="G43" s="30">
        <v>45429</v>
      </c>
      <c r="H43" s="28">
        <v>10</v>
      </c>
      <c r="I43" s="28" t="s">
        <v>18</v>
      </c>
      <c r="J43" s="31">
        <v>0.75</v>
      </c>
      <c r="K43" s="28" t="s">
        <v>94</v>
      </c>
      <c r="L43" s="32">
        <v>3500</v>
      </c>
      <c r="M43" s="28">
        <v>160</v>
      </c>
      <c r="N43" s="32">
        <v>529775</v>
      </c>
      <c r="O43" s="28" t="s">
        <v>226</v>
      </c>
      <c r="P43" s="28" t="s">
        <v>526</v>
      </c>
    </row>
    <row r="44" spans="1:16" ht="15" customHeight="1" x14ac:dyDescent="0.25">
      <c r="A44" s="23">
        <v>41</v>
      </c>
      <c r="B44" s="24" t="s">
        <v>71</v>
      </c>
      <c r="C44" s="23" t="s">
        <v>74</v>
      </c>
      <c r="D44" s="23" t="s">
        <v>181</v>
      </c>
      <c r="E44" s="23" t="s">
        <v>123</v>
      </c>
      <c r="F44" s="25">
        <v>45350</v>
      </c>
      <c r="G44" s="25">
        <v>45357</v>
      </c>
      <c r="H44" s="23">
        <v>7</v>
      </c>
      <c r="I44" s="23" t="s">
        <v>76</v>
      </c>
      <c r="J44" s="26">
        <v>0.65</v>
      </c>
      <c r="K44" s="23" t="s">
        <v>75</v>
      </c>
      <c r="L44" s="27">
        <v>3000</v>
      </c>
      <c r="M44" s="23">
        <v>60</v>
      </c>
      <c r="N44" s="27">
        <v>473670</v>
      </c>
      <c r="O44" s="23" t="s">
        <v>235</v>
      </c>
      <c r="P44" s="23" t="s">
        <v>521</v>
      </c>
    </row>
    <row r="45" spans="1:16" ht="15" customHeight="1" x14ac:dyDescent="0.25">
      <c r="A45" s="33">
        <v>42</v>
      </c>
      <c r="B45" s="34" t="s">
        <v>77</v>
      </c>
      <c r="C45" s="33" t="s">
        <v>87</v>
      </c>
      <c r="D45" s="33" t="s">
        <v>190</v>
      </c>
      <c r="E45" s="33" t="s">
        <v>232</v>
      </c>
      <c r="F45" s="35">
        <v>45401</v>
      </c>
      <c r="G45" s="35">
        <v>45411</v>
      </c>
      <c r="H45" s="33">
        <v>10</v>
      </c>
      <c r="I45" s="33" t="s">
        <v>102</v>
      </c>
      <c r="J45" s="36">
        <v>0.75</v>
      </c>
      <c r="K45" s="33" t="s">
        <v>126</v>
      </c>
      <c r="L45" s="37">
        <v>5500</v>
      </c>
      <c r="M45" s="33">
        <v>120</v>
      </c>
      <c r="N45" s="37">
        <v>349673</v>
      </c>
      <c r="O45" s="33" t="s">
        <v>226</v>
      </c>
      <c r="P45" s="33" t="s">
        <v>521</v>
      </c>
    </row>
    <row r="46" spans="1:16" ht="15" customHeight="1" x14ac:dyDescent="0.25">
      <c r="A46" s="33">
        <v>43</v>
      </c>
      <c r="B46" s="34" t="s">
        <v>80</v>
      </c>
      <c r="C46" s="33" t="s">
        <v>98</v>
      </c>
      <c r="D46" s="33" t="s">
        <v>413</v>
      </c>
      <c r="E46" s="33" t="s">
        <v>286</v>
      </c>
      <c r="F46" s="35">
        <v>45377</v>
      </c>
      <c r="G46" s="35">
        <v>45391</v>
      </c>
      <c r="H46" s="33">
        <v>14</v>
      </c>
      <c r="I46" s="33" t="s">
        <v>102</v>
      </c>
      <c r="J46" s="36">
        <v>0.25</v>
      </c>
      <c r="K46" s="33" t="s">
        <v>126</v>
      </c>
      <c r="L46" s="37">
        <v>4000</v>
      </c>
      <c r="M46" s="33">
        <v>0</v>
      </c>
      <c r="N46" s="37">
        <v>459027</v>
      </c>
      <c r="O46" s="33" t="s">
        <v>210</v>
      </c>
      <c r="P46" s="33" t="s">
        <v>521</v>
      </c>
    </row>
    <row r="47" spans="1:16" ht="15" customHeight="1" x14ac:dyDescent="0.25">
      <c r="A47" s="23">
        <v>44</v>
      </c>
      <c r="B47" s="24" t="s">
        <v>84</v>
      </c>
      <c r="C47" s="23" t="s">
        <v>109</v>
      </c>
      <c r="D47" s="23" t="s">
        <v>190</v>
      </c>
      <c r="E47" s="23" t="s">
        <v>182</v>
      </c>
      <c r="F47" s="25">
        <v>45301</v>
      </c>
      <c r="G47" s="25">
        <v>45308</v>
      </c>
      <c r="H47" s="23">
        <v>7</v>
      </c>
      <c r="I47" s="23" t="s">
        <v>76</v>
      </c>
      <c r="J47" s="26">
        <v>0.4</v>
      </c>
      <c r="K47" s="23" t="s">
        <v>75</v>
      </c>
      <c r="L47" s="27">
        <v>5500</v>
      </c>
      <c r="M47" s="23">
        <v>0</v>
      </c>
      <c r="N47" s="27">
        <v>297075</v>
      </c>
      <c r="O47" s="23" t="s">
        <v>130</v>
      </c>
      <c r="P47" s="23" t="s">
        <v>130</v>
      </c>
    </row>
    <row r="48" spans="1:16" ht="15" customHeight="1" x14ac:dyDescent="0.25">
      <c r="A48" s="33">
        <v>45</v>
      </c>
      <c r="B48" s="34" t="s">
        <v>88</v>
      </c>
      <c r="C48" s="33" t="s">
        <v>74</v>
      </c>
      <c r="D48" s="33" t="s">
        <v>204</v>
      </c>
      <c r="E48" s="33" t="s">
        <v>159</v>
      </c>
      <c r="F48" s="35">
        <v>45363</v>
      </c>
      <c r="G48" s="35">
        <v>45377</v>
      </c>
      <c r="H48" s="33">
        <v>14</v>
      </c>
      <c r="I48" s="33" t="s">
        <v>102</v>
      </c>
      <c r="J48" s="36">
        <v>0.65</v>
      </c>
      <c r="K48" s="33" t="s">
        <v>75</v>
      </c>
      <c r="L48" s="37">
        <v>4000</v>
      </c>
      <c r="M48" s="33">
        <v>60</v>
      </c>
      <c r="N48" s="37">
        <v>172172</v>
      </c>
      <c r="O48" s="33" t="s">
        <v>226</v>
      </c>
      <c r="P48" s="33" t="s">
        <v>525</v>
      </c>
    </row>
    <row r="49" spans="1:16" ht="15" customHeight="1" x14ac:dyDescent="0.25">
      <c r="A49" s="33">
        <v>46</v>
      </c>
      <c r="B49" s="34" t="s">
        <v>91</v>
      </c>
      <c r="C49" s="33" t="s">
        <v>87</v>
      </c>
      <c r="D49" s="33" t="s">
        <v>211</v>
      </c>
      <c r="E49" s="33" t="s">
        <v>123</v>
      </c>
      <c r="F49" s="35">
        <v>45318</v>
      </c>
      <c r="G49" s="35">
        <v>45328</v>
      </c>
      <c r="H49" s="33">
        <v>10</v>
      </c>
      <c r="I49" s="33" t="s">
        <v>102</v>
      </c>
      <c r="J49" s="36">
        <v>1</v>
      </c>
      <c r="K49" s="33" t="s">
        <v>94</v>
      </c>
      <c r="L49" s="37">
        <v>3500</v>
      </c>
      <c r="M49" s="33">
        <v>80</v>
      </c>
      <c r="N49" s="37">
        <v>758761</v>
      </c>
      <c r="O49" s="33" t="s">
        <v>226</v>
      </c>
      <c r="P49" s="33" t="s">
        <v>524</v>
      </c>
    </row>
    <row r="50" spans="1:16" ht="15" customHeight="1" x14ac:dyDescent="0.25">
      <c r="A50" s="23">
        <v>47</v>
      </c>
      <c r="B50" s="24" t="s">
        <v>95</v>
      </c>
      <c r="C50" s="23" t="s">
        <v>98</v>
      </c>
      <c r="D50" s="23" t="s">
        <v>122</v>
      </c>
      <c r="E50" s="23" t="s">
        <v>232</v>
      </c>
      <c r="F50" s="25">
        <v>45357</v>
      </c>
      <c r="G50" s="25">
        <v>45364</v>
      </c>
      <c r="H50" s="23">
        <v>7</v>
      </c>
      <c r="I50" s="23" t="s">
        <v>76</v>
      </c>
      <c r="J50" s="26">
        <v>0.4</v>
      </c>
      <c r="K50" s="23" t="s">
        <v>94</v>
      </c>
      <c r="L50" s="27">
        <v>4000</v>
      </c>
      <c r="M50" s="23">
        <v>120</v>
      </c>
      <c r="N50" s="27">
        <v>462749</v>
      </c>
      <c r="O50" s="23" t="s">
        <v>216</v>
      </c>
      <c r="P50" s="23" t="s">
        <v>526</v>
      </c>
    </row>
    <row r="51" spans="1:16" ht="15" customHeight="1" x14ac:dyDescent="0.25">
      <c r="A51" s="33">
        <v>48</v>
      </c>
      <c r="B51" s="34" t="s">
        <v>106</v>
      </c>
      <c r="C51" s="33" t="s">
        <v>109</v>
      </c>
      <c r="D51" s="33" t="s">
        <v>236</v>
      </c>
      <c r="E51" s="33" t="s">
        <v>159</v>
      </c>
      <c r="F51" s="35">
        <v>45379</v>
      </c>
      <c r="G51" s="35">
        <v>45386</v>
      </c>
      <c r="H51" s="33">
        <v>7</v>
      </c>
      <c r="I51" s="33" t="s">
        <v>102</v>
      </c>
      <c r="J51" s="36">
        <v>0</v>
      </c>
      <c r="K51" s="33" t="s">
        <v>126</v>
      </c>
      <c r="L51" s="37">
        <v>5000</v>
      </c>
      <c r="M51" s="33">
        <v>140</v>
      </c>
      <c r="N51" s="37">
        <v>112639</v>
      </c>
      <c r="O51" s="33" t="s">
        <v>226</v>
      </c>
      <c r="P51" s="33" t="s">
        <v>525</v>
      </c>
    </row>
    <row r="52" spans="1:16" ht="15" customHeight="1" x14ac:dyDescent="0.25">
      <c r="A52" s="33">
        <v>49</v>
      </c>
      <c r="B52" s="34" t="s">
        <v>103</v>
      </c>
      <c r="C52" s="33" t="s">
        <v>74</v>
      </c>
      <c r="D52" s="33" t="s">
        <v>158</v>
      </c>
      <c r="E52" s="33" t="s">
        <v>182</v>
      </c>
      <c r="F52" s="35">
        <v>45299</v>
      </c>
      <c r="G52" s="35">
        <v>45327</v>
      </c>
      <c r="H52" s="33">
        <v>28</v>
      </c>
      <c r="I52" s="33" t="s">
        <v>102</v>
      </c>
      <c r="J52" s="36">
        <v>0.75</v>
      </c>
      <c r="K52" s="33" t="s">
        <v>126</v>
      </c>
      <c r="L52" s="37">
        <v>4000</v>
      </c>
      <c r="M52" s="33">
        <v>120</v>
      </c>
      <c r="N52" s="37">
        <v>871958</v>
      </c>
      <c r="O52" s="33" t="s">
        <v>130</v>
      </c>
      <c r="P52" s="33" t="s">
        <v>521</v>
      </c>
    </row>
    <row r="53" spans="1:16" ht="15" customHeight="1" x14ac:dyDescent="0.25">
      <c r="A53" s="28">
        <v>50</v>
      </c>
      <c r="B53" s="29" t="s">
        <v>106</v>
      </c>
      <c r="C53" s="28" t="s">
        <v>87</v>
      </c>
      <c r="D53" s="28" t="s">
        <v>236</v>
      </c>
      <c r="E53" s="28" t="s">
        <v>159</v>
      </c>
      <c r="F53" s="30">
        <v>45371</v>
      </c>
      <c r="G53" s="30">
        <v>45378</v>
      </c>
      <c r="H53" s="28">
        <v>7</v>
      </c>
      <c r="I53" s="28" t="s">
        <v>18</v>
      </c>
      <c r="J53" s="31">
        <v>0.25</v>
      </c>
      <c r="K53" s="28" t="s">
        <v>94</v>
      </c>
      <c r="L53" s="32">
        <v>5000</v>
      </c>
      <c r="M53" s="28">
        <v>0</v>
      </c>
      <c r="N53" s="32">
        <v>288911</v>
      </c>
      <c r="O53" s="28" t="s">
        <v>216</v>
      </c>
      <c r="P53" s="28" t="s">
        <v>526</v>
      </c>
    </row>
    <row r="54" spans="1:16" ht="15" customHeight="1" x14ac:dyDescent="0.25">
      <c r="A54" s="33">
        <v>51</v>
      </c>
      <c r="B54" s="34" t="s">
        <v>71</v>
      </c>
      <c r="C54" s="33" t="s">
        <v>98</v>
      </c>
      <c r="D54" s="33" t="s">
        <v>245</v>
      </c>
      <c r="E54" s="33" t="s">
        <v>123</v>
      </c>
      <c r="F54" s="35">
        <v>45318</v>
      </c>
      <c r="G54" s="35">
        <v>45328</v>
      </c>
      <c r="H54" s="33">
        <v>10</v>
      </c>
      <c r="I54" s="33" t="s">
        <v>102</v>
      </c>
      <c r="J54" s="36">
        <v>0</v>
      </c>
      <c r="K54" s="33" t="s">
        <v>75</v>
      </c>
      <c r="L54" s="37">
        <v>4200</v>
      </c>
      <c r="M54" s="33">
        <v>60</v>
      </c>
      <c r="N54" s="37">
        <v>174169</v>
      </c>
      <c r="O54" s="33" t="s">
        <v>216</v>
      </c>
      <c r="P54" s="33" t="s">
        <v>525</v>
      </c>
    </row>
    <row r="55" spans="1:16" ht="15" customHeight="1" x14ac:dyDescent="0.25">
      <c r="A55" s="33">
        <v>52</v>
      </c>
      <c r="B55" s="34" t="s">
        <v>77</v>
      </c>
      <c r="C55" s="33" t="s">
        <v>109</v>
      </c>
      <c r="D55" s="33" t="s">
        <v>245</v>
      </c>
      <c r="E55" s="33" t="s">
        <v>232</v>
      </c>
      <c r="F55" s="35">
        <v>45407</v>
      </c>
      <c r="G55" s="35">
        <v>45419</v>
      </c>
      <c r="H55" s="33">
        <v>12</v>
      </c>
      <c r="I55" s="33" t="s">
        <v>102</v>
      </c>
      <c r="J55" s="36">
        <v>0.25</v>
      </c>
      <c r="K55" s="33" t="s">
        <v>83</v>
      </c>
      <c r="L55" s="37">
        <v>5000</v>
      </c>
      <c r="M55" s="33">
        <v>100</v>
      </c>
      <c r="N55" s="37">
        <v>841527</v>
      </c>
      <c r="O55" s="33" t="s">
        <v>130</v>
      </c>
      <c r="P55" s="33" t="s">
        <v>524</v>
      </c>
    </row>
    <row r="56" spans="1:16" ht="15" customHeight="1" x14ac:dyDescent="0.25">
      <c r="A56" s="33">
        <v>53</v>
      </c>
      <c r="B56" s="34" t="s">
        <v>80</v>
      </c>
      <c r="C56" s="33" t="s">
        <v>74</v>
      </c>
      <c r="D56" s="33" t="s">
        <v>337</v>
      </c>
      <c r="E56" s="33" t="s">
        <v>286</v>
      </c>
      <c r="F56" s="35">
        <v>45378</v>
      </c>
      <c r="G56" s="35">
        <v>45399</v>
      </c>
      <c r="H56" s="33">
        <v>21</v>
      </c>
      <c r="I56" s="33" t="s">
        <v>102</v>
      </c>
      <c r="J56" s="36">
        <v>1</v>
      </c>
      <c r="K56" s="33" t="s">
        <v>83</v>
      </c>
      <c r="L56" s="37">
        <v>5000</v>
      </c>
      <c r="M56" s="33">
        <v>168</v>
      </c>
      <c r="N56" s="37">
        <v>448113</v>
      </c>
      <c r="O56" s="33" t="s">
        <v>130</v>
      </c>
      <c r="P56" s="33" t="s">
        <v>526</v>
      </c>
    </row>
    <row r="57" spans="1:16" ht="15" customHeight="1" x14ac:dyDescent="0.25">
      <c r="A57" s="23">
        <v>54</v>
      </c>
      <c r="B57" s="24" t="s">
        <v>84</v>
      </c>
      <c r="C57" s="23" t="s">
        <v>87</v>
      </c>
      <c r="D57" s="23" t="s">
        <v>298</v>
      </c>
      <c r="E57" s="23" t="s">
        <v>182</v>
      </c>
      <c r="F57" s="25">
        <v>45298</v>
      </c>
      <c r="G57" s="25">
        <v>45308</v>
      </c>
      <c r="H57" s="23">
        <v>10</v>
      </c>
      <c r="I57" s="23" t="s">
        <v>76</v>
      </c>
      <c r="J57" s="26">
        <v>0.65</v>
      </c>
      <c r="K57" s="23" t="s">
        <v>75</v>
      </c>
      <c r="L57" s="27">
        <v>3000</v>
      </c>
      <c r="M57" s="23">
        <v>168</v>
      </c>
      <c r="N57" s="27">
        <v>477451</v>
      </c>
      <c r="O57" s="23" t="s">
        <v>235</v>
      </c>
      <c r="P57" s="23" t="s">
        <v>522</v>
      </c>
    </row>
    <row r="58" spans="1:16" ht="15" customHeight="1" x14ac:dyDescent="0.25">
      <c r="A58" s="33">
        <v>55</v>
      </c>
      <c r="B58" s="34" t="s">
        <v>88</v>
      </c>
      <c r="C58" s="33" t="s">
        <v>98</v>
      </c>
      <c r="D58" s="33" t="s">
        <v>181</v>
      </c>
      <c r="E58" s="33" t="s">
        <v>159</v>
      </c>
      <c r="F58" s="35">
        <v>45331</v>
      </c>
      <c r="G58" s="35">
        <v>45352</v>
      </c>
      <c r="H58" s="33">
        <v>21</v>
      </c>
      <c r="I58" s="33" t="s">
        <v>102</v>
      </c>
      <c r="J58" s="36">
        <v>0.65</v>
      </c>
      <c r="K58" s="33" t="s">
        <v>94</v>
      </c>
      <c r="L58" s="37">
        <v>4200</v>
      </c>
      <c r="M58" s="33">
        <v>100</v>
      </c>
      <c r="N58" s="37">
        <v>203594</v>
      </c>
      <c r="O58" s="33" t="s">
        <v>216</v>
      </c>
      <c r="P58" s="33" t="s">
        <v>525</v>
      </c>
    </row>
    <row r="59" spans="1:16" ht="15" customHeight="1" x14ac:dyDescent="0.25">
      <c r="A59" s="33">
        <v>56</v>
      </c>
      <c r="B59" s="34" t="s">
        <v>91</v>
      </c>
      <c r="C59" s="33" t="s">
        <v>109</v>
      </c>
      <c r="D59" s="33" t="s">
        <v>413</v>
      </c>
      <c r="E59" s="33" t="s">
        <v>123</v>
      </c>
      <c r="F59" s="35">
        <v>45327</v>
      </c>
      <c r="G59" s="35">
        <v>45334</v>
      </c>
      <c r="H59" s="33">
        <v>7</v>
      </c>
      <c r="I59" s="33" t="s">
        <v>102</v>
      </c>
      <c r="J59" s="36">
        <v>0</v>
      </c>
      <c r="K59" s="33" t="s">
        <v>75</v>
      </c>
      <c r="L59" s="37">
        <v>2000</v>
      </c>
      <c r="M59" s="33">
        <v>168</v>
      </c>
      <c r="N59" s="37">
        <v>844547</v>
      </c>
      <c r="O59" s="33" t="s">
        <v>216</v>
      </c>
      <c r="P59" s="33" t="s">
        <v>525</v>
      </c>
    </row>
    <row r="60" spans="1:16" ht="15" customHeight="1" x14ac:dyDescent="0.25">
      <c r="A60" s="23">
        <v>57</v>
      </c>
      <c r="B60" s="24" t="s">
        <v>95</v>
      </c>
      <c r="C60" s="23" t="s">
        <v>74</v>
      </c>
      <c r="D60" s="23" t="s">
        <v>413</v>
      </c>
      <c r="E60" s="23" t="s">
        <v>232</v>
      </c>
      <c r="F60" s="25">
        <v>45329</v>
      </c>
      <c r="G60" s="25">
        <v>45350</v>
      </c>
      <c r="H60" s="23">
        <v>21</v>
      </c>
      <c r="I60" s="23" t="s">
        <v>76</v>
      </c>
      <c r="J60" s="26">
        <v>1</v>
      </c>
      <c r="K60" s="23" t="s">
        <v>126</v>
      </c>
      <c r="L60" s="27">
        <v>2000</v>
      </c>
      <c r="M60" s="23">
        <v>168</v>
      </c>
      <c r="N60" s="27">
        <v>509202</v>
      </c>
      <c r="O60" s="23" t="s">
        <v>130</v>
      </c>
      <c r="P60" s="23" t="s">
        <v>525</v>
      </c>
    </row>
    <row r="61" spans="1:16" ht="15" customHeight="1" x14ac:dyDescent="0.25">
      <c r="A61" s="33">
        <v>58</v>
      </c>
      <c r="B61" s="34" t="s">
        <v>99</v>
      </c>
      <c r="C61" s="33" t="s">
        <v>87</v>
      </c>
      <c r="D61" s="33" t="s">
        <v>190</v>
      </c>
      <c r="E61" s="33" t="s">
        <v>286</v>
      </c>
      <c r="F61" s="35">
        <v>45384</v>
      </c>
      <c r="G61" s="35">
        <v>45412</v>
      </c>
      <c r="H61" s="33">
        <v>28</v>
      </c>
      <c r="I61" s="33" t="s">
        <v>102</v>
      </c>
      <c r="J61" s="36">
        <v>1</v>
      </c>
      <c r="K61" s="33" t="s">
        <v>75</v>
      </c>
      <c r="L61" s="37">
        <v>2000</v>
      </c>
      <c r="M61" s="33">
        <v>120</v>
      </c>
      <c r="N61" s="37">
        <v>353844</v>
      </c>
      <c r="O61" s="33" t="s">
        <v>130</v>
      </c>
      <c r="P61" s="33" t="s">
        <v>130</v>
      </c>
    </row>
    <row r="62" spans="1:16" ht="15" customHeight="1" x14ac:dyDescent="0.25">
      <c r="A62" s="28">
        <v>59</v>
      </c>
      <c r="B62" s="29" t="s">
        <v>103</v>
      </c>
      <c r="C62" s="28" t="s">
        <v>98</v>
      </c>
      <c r="D62" s="28" t="s">
        <v>211</v>
      </c>
      <c r="E62" s="28" t="s">
        <v>182</v>
      </c>
      <c r="F62" s="30">
        <v>45316</v>
      </c>
      <c r="G62" s="30">
        <v>45328</v>
      </c>
      <c r="H62" s="28">
        <v>12</v>
      </c>
      <c r="I62" s="28" t="s">
        <v>18</v>
      </c>
      <c r="J62" s="31">
        <v>0.5</v>
      </c>
      <c r="K62" s="28" t="s">
        <v>75</v>
      </c>
      <c r="L62" s="32">
        <v>5500</v>
      </c>
      <c r="M62" s="28">
        <v>168</v>
      </c>
      <c r="N62" s="32">
        <v>258384</v>
      </c>
      <c r="O62" s="28" t="s">
        <v>130</v>
      </c>
      <c r="P62" s="28" t="s">
        <v>523</v>
      </c>
    </row>
    <row r="63" spans="1:16" ht="15" customHeight="1" x14ac:dyDescent="0.25">
      <c r="A63" s="28">
        <v>60</v>
      </c>
      <c r="B63" s="29" t="s">
        <v>106</v>
      </c>
      <c r="C63" s="28" t="s">
        <v>109</v>
      </c>
      <c r="D63" s="28" t="s">
        <v>204</v>
      </c>
      <c r="E63" s="28" t="s">
        <v>159</v>
      </c>
      <c r="F63" s="30">
        <v>45299</v>
      </c>
      <c r="G63" s="30">
        <v>45311</v>
      </c>
      <c r="H63" s="28">
        <v>12</v>
      </c>
      <c r="I63" s="28" t="s">
        <v>18</v>
      </c>
      <c r="J63" s="31">
        <v>0.75</v>
      </c>
      <c r="K63" s="28" t="s">
        <v>94</v>
      </c>
      <c r="L63" s="32">
        <v>3500</v>
      </c>
      <c r="M63" s="28">
        <v>140</v>
      </c>
      <c r="N63" s="32">
        <v>60120</v>
      </c>
      <c r="O63" s="28" t="s">
        <v>216</v>
      </c>
      <c r="P63" s="28" t="s">
        <v>526</v>
      </c>
    </row>
    <row r="64" spans="1:16" ht="15" customHeight="1" x14ac:dyDescent="0.25">
      <c r="A64" s="23">
        <v>61</v>
      </c>
      <c r="B64" s="24" t="s">
        <v>71</v>
      </c>
      <c r="C64" s="23" t="s">
        <v>74</v>
      </c>
      <c r="D64" s="23" t="s">
        <v>140</v>
      </c>
      <c r="E64" s="23" t="s">
        <v>123</v>
      </c>
      <c r="F64" s="25">
        <v>45363</v>
      </c>
      <c r="G64" s="25">
        <v>45375</v>
      </c>
      <c r="H64" s="23">
        <v>12</v>
      </c>
      <c r="I64" s="23" t="s">
        <v>76</v>
      </c>
      <c r="J64" s="26">
        <v>0.75</v>
      </c>
      <c r="K64" s="23" t="s">
        <v>83</v>
      </c>
      <c r="L64" s="27">
        <v>2000</v>
      </c>
      <c r="M64" s="23">
        <v>0</v>
      </c>
      <c r="N64" s="27">
        <v>555848</v>
      </c>
      <c r="O64" s="23" t="s">
        <v>130</v>
      </c>
      <c r="P64" s="23" t="s">
        <v>522</v>
      </c>
    </row>
    <row r="65" spans="1:16" ht="15" customHeight="1" x14ac:dyDescent="0.25">
      <c r="A65" s="33">
        <v>62</v>
      </c>
      <c r="B65" s="34" t="s">
        <v>77</v>
      </c>
      <c r="C65" s="33" t="s">
        <v>87</v>
      </c>
      <c r="D65" s="33" t="s">
        <v>122</v>
      </c>
      <c r="E65" s="33" t="s">
        <v>232</v>
      </c>
      <c r="F65" s="35">
        <v>45379</v>
      </c>
      <c r="G65" s="35">
        <v>45393</v>
      </c>
      <c r="H65" s="33">
        <v>14</v>
      </c>
      <c r="I65" s="33" t="s">
        <v>102</v>
      </c>
      <c r="J65" s="36">
        <v>0.75</v>
      </c>
      <c r="K65" s="33" t="s">
        <v>75</v>
      </c>
      <c r="L65" s="37">
        <v>4200</v>
      </c>
      <c r="M65" s="33">
        <v>168</v>
      </c>
      <c r="N65" s="37">
        <v>355120</v>
      </c>
      <c r="O65" s="33" t="s">
        <v>172</v>
      </c>
      <c r="P65" s="33" t="s">
        <v>526</v>
      </c>
    </row>
    <row r="66" spans="1:16" ht="15" customHeight="1" x14ac:dyDescent="0.25">
      <c r="A66" s="23">
        <v>63</v>
      </c>
      <c r="B66" s="24" t="s">
        <v>80</v>
      </c>
      <c r="C66" s="23" t="s">
        <v>98</v>
      </c>
      <c r="D66" s="23" t="s">
        <v>236</v>
      </c>
      <c r="E66" s="23" t="s">
        <v>286</v>
      </c>
      <c r="F66" s="25">
        <v>45434</v>
      </c>
      <c r="G66" s="25">
        <v>45462</v>
      </c>
      <c r="H66" s="23">
        <v>28</v>
      </c>
      <c r="I66" s="23" t="s">
        <v>76</v>
      </c>
      <c r="J66" s="26">
        <v>0</v>
      </c>
      <c r="K66" s="23" t="s">
        <v>83</v>
      </c>
      <c r="L66" s="27">
        <v>4000</v>
      </c>
      <c r="M66" s="23">
        <v>0</v>
      </c>
      <c r="N66" s="27">
        <v>65625</v>
      </c>
      <c r="O66" s="23" t="s">
        <v>130</v>
      </c>
      <c r="P66" s="23" t="s">
        <v>526</v>
      </c>
    </row>
    <row r="67" spans="1:16" ht="15" customHeight="1" x14ac:dyDescent="0.25">
      <c r="A67" s="28">
        <v>64</v>
      </c>
      <c r="B67" s="29" t="s">
        <v>84</v>
      </c>
      <c r="C67" s="28" t="s">
        <v>109</v>
      </c>
      <c r="D67" s="28" t="s">
        <v>236</v>
      </c>
      <c r="E67" s="28" t="s">
        <v>182</v>
      </c>
      <c r="F67" s="30">
        <v>45387</v>
      </c>
      <c r="G67" s="30">
        <v>45408</v>
      </c>
      <c r="H67" s="28">
        <v>21</v>
      </c>
      <c r="I67" s="28" t="s">
        <v>18</v>
      </c>
      <c r="J67" s="31">
        <v>0</v>
      </c>
      <c r="K67" s="28" t="s">
        <v>75</v>
      </c>
      <c r="L67" s="32">
        <v>2000</v>
      </c>
      <c r="M67" s="28">
        <v>120</v>
      </c>
      <c r="N67" s="32">
        <v>431160</v>
      </c>
      <c r="O67" s="28" t="s">
        <v>216</v>
      </c>
      <c r="P67" s="28" t="s">
        <v>522</v>
      </c>
    </row>
    <row r="68" spans="1:16" ht="15" customHeight="1" x14ac:dyDescent="0.25">
      <c r="A68" s="28">
        <v>65</v>
      </c>
      <c r="B68" s="29" t="s">
        <v>88</v>
      </c>
      <c r="C68" s="28" t="s">
        <v>74</v>
      </c>
      <c r="D68" s="28" t="s">
        <v>236</v>
      </c>
      <c r="E68" s="28" t="s">
        <v>159</v>
      </c>
      <c r="F68" s="30">
        <v>45392</v>
      </c>
      <c r="G68" s="30">
        <v>45404</v>
      </c>
      <c r="H68" s="28">
        <v>12</v>
      </c>
      <c r="I68" s="28" t="s">
        <v>18</v>
      </c>
      <c r="J68" s="31">
        <v>0.75</v>
      </c>
      <c r="K68" s="28" t="s">
        <v>94</v>
      </c>
      <c r="L68" s="32">
        <v>4000</v>
      </c>
      <c r="M68" s="28">
        <v>60</v>
      </c>
      <c r="N68" s="32">
        <v>471106</v>
      </c>
      <c r="O68" s="28" t="s">
        <v>130</v>
      </c>
      <c r="P68" s="28" t="s">
        <v>525</v>
      </c>
    </row>
    <row r="69" spans="1:16" ht="15" customHeight="1" x14ac:dyDescent="0.25">
      <c r="A69" s="23">
        <v>66</v>
      </c>
      <c r="B69" s="24" t="s">
        <v>91</v>
      </c>
      <c r="C69" s="23" t="s">
        <v>87</v>
      </c>
      <c r="D69" s="23" t="s">
        <v>158</v>
      </c>
      <c r="E69" s="23" t="s">
        <v>123</v>
      </c>
      <c r="F69" s="25">
        <v>45294</v>
      </c>
      <c r="G69" s="25">
        <v>45315</v>
      </c>
      <c r="H69" s="23">
        <v>21</v>
      </c>
      <c r="I69" s="23" t="s">
        <v>76</v>
      </c>
      <c r="J69" s="26">
        <v>0</v>
      </c>
      <c r="K69" s="23" t="s">
        <v>75</v>
      </c>
      <c r="L69" s="27">
        <v>5500</v>
      </c>
      <c r="M69" s="23">
        <v>0</v>
      </c>
      <c r="N69" s="27">
        <v>338896</v>
      </c>
      <c r="O69" s="23" t="s">
        <v>172</v>
      </c>
      <c r="P69" s="23" t="s">
        <v>523</v>
      </c>
    </row>
    <row r="70" spans="1:16" ht="15" customHeight="1" x14ac:dyDescent="0.25">
      <c r="A70" s="28">
        <v>67</v>
      </c>
      <c r="B70" s="29" t="s">
        <v>95</v>
      </c>
      <c r="C70" s="28" t="s">
        <v>98</v>
      </c>
      <c r="D70" s="28" t="s">
        <v>337</v>
      </c>
      <c r="E70" s="28" t="s">
        <v>232</v>
      </c>
      <c r="F70" s="30">
        <v>45361</v>
      </c>
      <c r="G70" s="30">
        <v>45371</v>
      </c>
      <c r="H70" s="28">
        <v>10</v>
      </c>
      <c r="I70" s="28" t="s">
        <v>18</v>
      </c>
      <c r="J70" s="31">
        <v>0.4</v>
      </c>
      <c r="K70" s="28" t="s">
        <v>83</v>
      </c>
      <c r="L70" s="32">
        <v>3000</v>
      </c>
      <c r="M70" s="28">
        <v>160</v>
      </c>
      <c r="N70" s="32">
        <v>400404</v>
      </c>
      <c r="O70" s="28" t="s">
        <v>130</v>
      </c>
      <c r="P70" s="28" t="s">
        <v>521</v>
      </c>
    </row>
    <row r="71" spans="1:16" ht="15" customHeight="1" x14ac:dyDescent="0.25">
      <c r="A71" s="28">
        <v>68</v>
      </c>
      <c r="B71" s="29" t="s">
        <v>99</v>
      </c>
      <c r="C71" s="28" t="s">
        <v>109</v>
      </c>
      <c r="D71" s="28" t="s">
        <v>6</v>
      </c>
      <c r="E71" s="28" t="s">
        <v>286</v>
      </c>
      <c r="F71" s="30">
        <v>45326</v>
      </c>
      <c r="G71" s="30">
        <v>45340</v>
      </c>
      <c r="H71" s="28">
        <v>14</v>
      </c>
      <c r="I71" s="28" t="s">
        <v>18</v>
      </c>
      <c r="J71" s="31">
        <v>0.25</v>
      </c>
      <c r="K71" s="28" t="s">
        <v>126</v>
      </c>
      <c r="L71" s="32">
        <v>2000</v>
      </c>
      <c r="M71" s="28">
        <v>80</v>
      </c>
      <c r="N71" s="32">
        <v>831470</v>
      </c>
      <c r="O71" s="28" t="s">
        <v>130</v>
      </c>
      <c r="P71" s="28" t="s">
        <v>521</v>
      </c>
    </row>
    <row r="72" spans="1:16" ht="15" customHeight="1" x14ac:dyDescent="0.25">
      <c r="A72" s="33">
        <v>69</v>
      </c>
      <c r="B72" s="34" t="s">
        <v>103</v>
      </c>
      <c r="C72" s="33" t="s">
        <v>74</v>
      </c>
      <c r="D72" s="33" t="s">
        <v>173</v>
      </c>
      <c r="E72" s="33" t="s">
        <v>182</v>
      </c>
      <c r="F72" s="35">
        <v>45346</v>
      </c>
      <c r="G72" s="35">
        <v>45367</v>
      </c>
      <c r="H72" s="33">
        <v>21</v>
      </c>
      <c r="I72" s="33" t="s">
        <v>102</v>
      </c>
      <c r="J72" s="36">
        <v>0.25</v>
      </c>
      <c r="K72" s="33" t="s">
        <v>83</v>
      </c>
      <c r="L72" s="37">
        <v>4000</v>
      </c>
      <c r="M72" s="33">
        <v>80</v>
      </c>
      <c r="N72" s="37">
        <v>718015</v>
      </c>
      <c r="O72" s="33" t="s">
        <v>210</v>
      </c>
      <c r="P72" s="33" t="s">
        <v>130</v>
      </c>
    </row>
    <row r="73" spans="1:16" ht="15" customHeight="1" x14ac:dyDescent="0.25">
      <c r="A73" s="33">
        <v>70</v>
      </c>
      <c r="B73" s="34" t="s">
        <v>106</v>
      </c>
      <c r="C73" s="33" t="s">
        <v>87</v>
      </c>
      <c r="D73" s="33" t="s">
        <v>298</v>
      </c>
      <c r="E73" s="33" t="s">
        <v>159</v>
      </c>
      <c r="F73" s="35">
        <v>45381</v>
      </c>
      <c r="G73" s="35">
        <v>45391</v>
      </c>
      <c r="H73" s="33">
        <v>10</v>
      </c>
      <c r="I73" s="33" t="s">
        <v>102</v>
      </c>
      <c r="J73" s="36">
        <v>0.5</v>
      </c>
      <c r="K73" s="33" t="s">
        <v>83</v>
      </c>
      <c r="L73" s="37">
        <v>2000</v>
      </c>
      <c r="M73" s="33">
        <v>60</v>
      </c>
      <c r="N73" s="37">
        <v>719345</v>
      </c>
      <c r="O73" s="33" t="s">
        <v>130</v>
      </c>
      <c r="P73" s="33" t="s">
        <v>524</v>
      </c>
    </row>
    <row r="74" spans="1:16" ht="15" customHeight="1" x14ac:dyDescent="0.25">
      <c r="A74" s="28">
        <v>71</v>
      </c>
      <c r="B74" s="29" t="s">
        <v>71</v>
      </c>
      <c r="C74" s="28" t="s">
        <v>98</v>
      </c>
      <c r="D74" s="28" t="s">
        <v>181</v>
      </c>
      <c r="E74" s="28" t="s">
        <v>123</v>
      </c>
      <c r="F74" s="30">
        <v>45424</v>
      </c>
      <c r="G74" s="30">
        <v>45438</v>
      </c>
      <c r="H74" s="28">
        <v>14</v>
      </c>
      <c r="I74" s="28" t="s">
        <v>18</v>
      </c>
      <c r="J74" s="31">
        <v>0</v>
      </c>
      <c r="K74" s="28" t="s">
        <v>75</v>
      </c>
      <c r="L74" s="32">
        <v>4200</v>
      </c>
      <c r="M74" s="28">
        <v>140</v>
      </c>
      <c r="N74" s="32">
        <v>197919</v>
      </c>
      <c r="O74" s="28" t="s">
        <v>130</v>
      </c>
      <c r="P74" s="28" t="s">
        <v>523</v>
      </c>
    </row>
    <row r="75" spans="1:16" ht="15" customHeight="1" x14ac:dyDescent="0.25">
      <c r="A75" s="33">
        <v>72</v>
      </c>
      <c r="B75" s="34" t="s">
        <v>77</v>
      </c>
      <c r="C75" s="33" t="s">
        <v>109</v>
      </c>
      <c r="D75" s="33" t="s">
        <v>181</v>
      </c>
      <c r="E75" s="33" t="s">
        <v>232</v>
      </c>
      <c r="F75" s="35">
        <v>45307</v>
      </c>
      <c r="G75" s="35">
        <v>45314</v>
      </c>
      <c r="H75" s="33">
        <v>7</v>
      </c>
      <c r="I75" s="33" t="s">
        <v>102</v>
      </c>
      <c r="J75" s="36">
        <v>0.5</v>
      </c>
      <c r="K75" s="33" t="s">
        <v>83</v>
      </c>
      <c r="L75" s="37">
        <v>2000</v>
      </c>
      <c r="M75" s="33">
        <v>160</v>
      </c>
      <c r="N75" s="37">
        <v>351364</v>
      </c>
      <c r="O75" s="33" t="s">
        <v>235</v>
      </c>
      <c r="P75" s="33" t="s">
        <v>526</v>
      </c>
    </row>
    <row r="76" spans="1:16" ht="15" customHeight="1" x14ac:dyDescent="0.25">
      <c r="A76" s="33">
        <v>73</v>
      </c>
      <c r="B76" s="34" t="s">
        <v>80</v>
      </c>
      <c r="C76" s="33" t="s">
        <v>74</v>
      </c>
      <c r="D76" s="33" t="s">
        <v>190</v>
      </c>
      <c r="E76" s="33" t="s">
        <v>286</v>
      </c>
      <c r="F76" s="35">
        <v>45294</v>
      </c>
      <c r="G76" s="35">
        <v>45315</v>
      </c>
      <c r="H76" s="33">
        <v>21</v>
      </c>
      <c r="I76" s="33" t="s">
        <v>102</v>
      </c>
      <c r="J76" s="36">
        <v>0.25</v>
      </c>
      <c r="K76" s="33" t="s">
        <v>83</v>
      </c>
      <c r="L76" s="37">
        <v>2000</v>
      </c>
      <c r="M76" s="33">
        <v>80</v>
      </c>
      <c r="N76" s="37">
        <v>532507</v>
      </c>
      <c r="O76" s="33" t="s">
        <v>226</v>
      </c>
      <c r="P76" s="33" t="s">
        <v>130</v>
      </c>
    </row>
    <row r="77" spans="1:16" ht="15" customHeight="1" x14ac:dyDescent="0.25">
      <c r="A77" s="28">
        <v>74</v>
      </c>
      <c r="B77" s="29" t="s">
        <v>84</v>
      </c>
      <c r="C77" s="28" t="s">
        <v>87</v>
      </c>
      <c r="D77" s="28" t="s">
        <v>190</v>
      </c>
      <c r="E77" s="28" t="s">
        <v>182</v>
      </c>
      <c r="F77" s="30">
        <v>45357</v>
      </c>
      <c r="G77" s="30">
        <v>45369</v>
      </c>
      <c r="H77" s="28">
        <v>12</v>
      </c>
      <c r="I77" s="28" t="s">
        <v>18</v>
      </c>
      <c r="J77" s="31">
        <v>0.4</v>
      </c>
      <c r="K77" s="28" t="s">
        <v>126</v>
      </c>
      <c r="L77" s="32">
        <v>3500</v>
      </c>
      <c r="M77" s="28">
        <v>80</v>
      </c>
      <c r="N77" s="32">
        <v>718869</v>
      </c>
      <c r="O77" s="28" t="s">
        <v>130</v>
      </c>
      <c r="P77" s="28" t="s">
        <v>525</v>
      </c>
    </row>
    <row r="78" spans="1:16" ht="15" customHeight="1" x14ac:dyDescent="0.25">
      <c r="A78" s="23">
        <v>75</v>
      </c>
      <c r="B78" s="24" t="s">
        <v>88</v>
      </c>
      <c r="C78" s="23" t="s">
        <v>98</v>
      </c>
      <c r="D78" s="23" t="s">
        <v>227</v>
      </c>
      <c r="E78" s="23" t="s">
        <v>159</v>
      </c>
      <c r="F78" s="25">
        <v>45321</v>
      </c>
      <c r="G78" s="25">
        <v>45331</v>
      </c>
      <c r="H78" s="23">
        <v>10</v>
      </c>
      <c r="I78" s="23" t="s">
        <v>76</v>
      </c>
      <c r="J78" s="26">
        <v>0</v>
      </c>
      <c r="K78" s="23" t="s">
        <v>94</v>
      </c>
      <c r="L78" s="27">
        <v>2000</v>
      </c>
      <c r="M78" s="23">
        <v>60</v>
      </c>
      <c r="N78" s="27">
        <v>364736</v>
      </c>
      <c r="O78" s="23" t="s">
        <v>130</v>
      </c>
      <c r="P78" s="23" t="s">
        <v>525</v>
      </c>
    </row>
    <row r="79" spans="1:16" ht="15" customHeight="1" x14ac:dyDescent="0.25">
      <c r="A79" s="23">
        <v>76</v>
      </c>
      <c r="B79" s="24" t="s">
        <v>91</v>
      </c>
      <c r="C79" s="23" t="s">
        <v>109</v>
      </c>
      <c r="D79" s="23" t="s">
        <v>211</v>
      </c>
      <c r="E79" s="23" t="s">
        <v>123</v>
      </c>
      <c r="F79" s="25">
        <v>45431</v>
      </c>
      <c r="G79" s="25">
        <v>45445</v>
      </c>
      <c r="H79" s="23">
        <v>14</v>
      </c>
      <c r="I79" s="23" t="s">
        <v>76</v>
      </c>
      <c r="J79" s="26">
        <v>0.4</v>
      </c>
      <c r="K79" s="23" t="s">
        <v>83</v>
      </c>
      <c r="L79" s="27">
        <v>5000</v>
      </c>
      <c r="M79" s="23">
        <v>0</v>
      </c>
      <c r="N79" s="27">
        <v>564589</v>
      </c>
      <c r="O79" s="23" t="s">
        <v>130</v>
      </c>
      <c r="P79" s="23" t="s">
        <v>523</v>
      </c>
    </row>
    <row r="80" spans="1:16" ht="15" customHeight="1" x14ac:dyDescent="0.25">
      <c r="A80" s="33">
        <v>77</v>
      </c>
      <c r="B80" s="34" t="s">
        <v>95</v>
      </c>
      <c r="C80" s="33" t="s">
        <v>74</v>
      </c>
      <c r="D80" s="33" t="s">
        <v>227</v>
      </c>
      <c r="E80" s="33" t="s">
        <v>232</v>
      </c>
      <c r="F80" s="35">
        <v>45426</v>
      </c>
      <c r="G80" s="35">
        <v>45433</v>
      </c>
      <c r="H80" s="33">
        <v>7</v>
      </c>
      <c r="I80" s="33" t="s">
        <v>102</v>
      </c>
      <c r="J80" s="36">
        <v>0.25</v>
      </c>
      <c r="K80" s="33" t="s">
        <v>83</v>
      </c>
      <c r="L80" s="37">
        <v>3000</v>
      </c>
      <c r="M80" s="33">
        <v>100</v>
      </c>
      <c r="N80" s="37">
        <v>611199</v>
      </c>
      <c r="O80" s="33" t="s">
        <v>130</v>
      </c>
      <c r="P80" s="33" t="s">
        <v>130</v>
      </c>
    </row>
    <row r="81" spans="1:16" ht="15" customHeight="1" x14ac:dyDescent="0.25">
      <c r="A81" s="23">
        <v>78</v>
      </c>
      <c r="B81" s="24" t="s">
        <v>99</v>
      </c>
      <c r="C81" s="23" t="s">
        <v>87</v>
      </c>
      <c r="D81" s="23" t="s">
        <v>236</v>
      </c>
      <c r="E81" s="23" t="s">
        <v>286</v>
      </c>
      <c r="F81" s="25">
        <v>45346</v>
      </c>
      <c r="G81" s="25">
        <v>45367</v>
      </c>
      <c r="H81" s="23">
        <v>21</v>
      </c>
      <c r="I81" s="23" t="s">
        <v>76</v>
      </c>
      <c r="J81" s="26">
        <v>1</v>
      </c>
      <c r="K81" s="23" t="s">
        <v>83</v>
      </c>
      <c r="L81" s="27">
        <v>3500</v>
      </c>
      <c r="M81" s="23">
        <v>120</v>
      </c>
      <c r="N81" s="27">
        <v>213375</v>
      </c>
      <c r="O81" s="23" t="s">
        <v>226</v>
      </c>
      <c r="P81" s="23" t="s">
        <v>130</v>
      </c>
    </row>
    <row r="82" spans="1:16" ht="15" customHeight="1" x14ac:dyDescent="0.25">
      <c r="A82" s="23">
        <v>79</v>
      </c>
      <c r="B82" s="24" t="s">
        <v>103</v>
      </c>
      <c r="C82" s="23" t="s">
        <v>98</v>
      </c>
      <c r="D82" s="23" t="s">
        <v>236</v>
      </c>
      <c r="E82" s="23" t="s">
        <v>182</v>
      </c>
      <c r="F82" s="25">
        <v>45305</v>
      </c>
      <c r="G82" s="25">
        <v>45319</v>
      </c>
      <c r="H82" s="23">
        <v>14</v>
      </c>
      <c r="I82" s="23" t="s">
        <v>76</v>
      </c>
      <c r="J82" s="26">
        <v>0.4</v>
      </c>
      <c r="K82" s="23" t="s">
        <v>126</v>
      </c>
      <c r="L82" s="27">
        <v>3500</v>
      </c>
      <c r="M82" s="23">
        <v>100</v>
      </c>
      <c r="N82" s="27">
        <v>137482</v>
      </c>
      <c r="O82" s="23" t="s">
        <v>172</v>
      </c>
      <c r="P82" s="23" t="s">
        <v>524</v>
      </c>
    </row>
    <row r="83" spans="1:16" ht="15" customHeight="1" x14ac:dyDescent="0.25">
      <c r="A83" s="28">
        <v>80</v>
      </c>
      <c r="B83" s="29" t="s">
        <v>106</v>
      </c>
      <c r="C83" s="28" t="s">
        <v>109</v>
      </c>
      <c r="D83" s="28" t="s">
        <v>245</v>
      </c>
      <c r="E83" s="28" t="s">
        <v>159</v>
      </c>
      <c r="F83" s="30">
        <v>45300</v>
      </c>
      <c r="G83" s="30">
        <v>45328</v>
      </c>
      <c r="H83" s="28">
        <v>28</v>
      </c>
      <c r="I83" s="28" t="s">
        <v>18</v>
      </c>
      <c r="J83" s="31">
        <v>1</v>
      </c>
      <c r="K83" s="28" t="s">
        <v>126</v>
      </c>
      <c r="L83" s="32">
        <v>3000</v>
      </c>
      <c r="M83" s="28">
        <v>160</v>
      </c>
      <c r="N83" s="32">
        <v>106825</v>
      </c>
      <c r="O83" s="28" t="s">
        <v>226</v>
      </c>
      <c r="P83" s="28" t="s">
        <v>523</v>
      </c>
    </row>
    <row r="84" spans="1:16" ht="15" customHeight="1" x14ac:dyDescent="0.25">
      <c r="A84" s="33">
        <v>81</v>
      </c>
      <c r="B84" s="34" t="s">
        <v>71</v>
      </c>
      <c r="C84" s="33" t="s">
        <v>74</v>
      </c>
      <c r="D84" s="33" t="s">
        <v>337</v>
      </c>
      <c r="E84" s="33" t="s">
        <v>123</v>
      </c>
      <c r="F84" s="35">
        <v>45306</v>
      </c>
      <c r="G84" s="35">
        <v>45313</v>
      </c>
      <c r="H84" s="33">
        <v>7</v>
      </c>
      <c r="I84" s="33" t="s">
        <v>102</v>
      </c>
      <c r="J84" s="36">
        <v>0</v>
      </c>
      <c r="K84" s="33" t="s">
        <v>75</v>
      </c>
      <c r="L84" s="37">
        <v>3000</v>
      </c>
      <c r="M84" s="33">
        <v>160</v>
      </c>
      <c r="N84" s="37">
        <v>74549</v>
      </c>
      <c r="O84" s="33" t="s">
        <v>130</v>
      </c>
      <c r="P84" s="33" t="s">
        <v>524</v>
      </c>
    </row>
    <row r="85" spans="1:16" ht="15" customHeight="1" x14ac:dyDescent="0.25">
      <c r="A85" s="33">
        <v>82</v>
      </c>
      <c r="B85" s="34" t="s">
        <v>77</v>
      </c>
      <c r="C85" s="33" t="s">
        <v>87</v>
      </c>
      <c r="D85" s="33" t="s">
        <v>337</v>
      </c>
      <c r="E85" s="33" t="s">
        <v>232</v>
      </c>
      <c r="F85" s="35">
        <v>45333</v>
      </c>
      <c r="G85" s="35">
        <v>45347</v>
      </c>
      <c r="H85" s="33">
        <v>14</v>
      </c>
      <c r="I85" s="33" t="s">
        <v>102</v>
      </c>
      <c r="J85" s="36">
        <v>0.75</v>
      </c>
      <c r="K85" s="33" t="s">
        <v>94</v>
      </c>
      <c r="L85" s="37">
        <v>5000</v>
      </c>
      <c r="M85" s="33">
        <v>100</v>
      </c>
      <c r="N85" s="37">
        <v>138639</v>
      </c>
      <c r="O85" s="33" t="s">
        <v>216</v>
      </c>
      <c r="P85" s="33" t="s">
        <v>526</v>
      </c>
    </row>
    <row r="86" spans="1:16" ht="15" customHeight="1" x14ac:dyDescent="0.25">
      <c r="A86" s="28">
        <v>83</v>
      </c>
      <c r="B86" s="29" t="s">
        <v>80</v>
      </c>
      <c r="C86" s="28" t="s">
        <v>98</v>
      </c>
      <c r="D86" s="28" t="s">
        <v>6</v>
      </c>
      <c r="E86" s="28" t="s">
        <v>286</v>
      </c>
      <c r="F86" s="30">
        <v>45309</v>
      </c>
      <c r="G86" s="30">
        <v>45321</v>
      </c>
      <c r="H86" s="28">
        <v>12</v>
      </c>
      <c r="I86" s="28" t="s">
        <v>18</v>
      </c>
      <c r="J86" s="31">
        <v>0.75</v>
      </c>
      <c r="K86" s="28" t="s">
        <v>83</v>
      </c>
      <c r="L86" s="32">
        <v>2000</v>
      </c>
      <c r="M86" s="28">
        <v>0</v>
      </c>
      <c r="N86" s="32">
        <v>429191</v>
      </c>
      <c r="O86" s="28" t="s">
        <v>235</v>
      </c>
      <c r="P86" s="28" t="s">
        <v>521</v>
      </c>
    </row>
    <row r="87" spans="1:16" ht="15" customHeight="1" x14ac:dyDescent="0.25">
      <c r="A87" s="23">
        <v>84</v>
      </c>
      <c r="B87" s="24" t="s">
        <v>84</v>
      </c>
      <c r="C87" s="23" t="s">
        <v>109</v>
      </c>
      <c r="D87" s="23" t="s">
        <v>298</v>
      </c>
      <c r="E87" s="23" t="s">
        <v>182</v>
      </c>
      <c r="F87" s="25">
        <v>45308</v>
      </c>
      <c r="G87" s="25">
        <v>45322</v>
      </c>
      <c r="H87" s="23">
        <v>14</v>
      </c>
      <c r="I87" s="23" t="s">
        <v>76</v>
      </c>
      <c r="J87" s="26">
        <v>0.4</v>
      </c>
      <c r="K87" s="23" t="s">
        <v>126</v>
      </c>
      <c r="L87" s="27">
        <v>4200</v>
      </c>
      <c r="M87" s="23">
        <v>140</v>
      </c>
      <c r="N87" s="27">
        <v>410872</v>
      </c>
      <c r="O87" s="23" t="s">
        <v>210</v>
      </c>
      <c r="P87" s="23" t="s">
        <v>130</v>
      </c>
    </row>
    <row r="88" spans="1:16" ht="15" customHeight="1" x14ac:dyDescent="0.25">
      <c r="A88" s="33">
        <v>85</v>
      </c>
      <c r="B88" s="34" t="s">
        <v>88</v>
      </c>
      <c r="C88" s="33" t="s">
        <v>74</v>
      </c>
      <c r="D88" s="33" t="s">
        <v>173</v>
      </c>
      <c r="E88" s="33" t="s">
        <v>159</v>
      </c>
      <c r="F88" s="35">
        <v>45394</v>
      </c>
      <c r="G88" s="35">
        <v>45408</v>
      </c>
      <c r="H88" s="33">
        <v>14</v>
      </c>
      <c r="I88" s="33" t="s">
        <v>102</v>
      </c>
      <c r="J88" s="36">
        <v>0.75</v>
      </c>
      <c r="K88" s="33" t="s">
        <v>126</v>
      </c>
      <c r="L88" s="37">
        <v>5000</v>
      </c>
      <c r="M88" s="33">
        <v>100</v>
      </c>
      <c r="N88" s="37">
        <v>488003</v>
      </c>
      <c r="O88" s="33" t="s">
        <v>130</v>
      </c>
      <c r="P88" s="33" t="s">
        <v>130</v>
      </c>
    </row>
    <row r="89" spans="1:16" ht="15" customHeight="1" x14ac:dyDescent="0.25">
      <c r="A89" s="28">
        <v>86</v>
      </c>
      <c r="B89" s="29" t="s">
        <v>91</v>
      </c>
      <c r="C89" s="28" t="s">
        <v>87</v>
      </c>
      <c r="D89" s="28" t="s">
        <v>181</v>
      </c>
      <c r="E89" s="28" t="s">
        <v>123</v>
      </c>
      <c r="F89" s="30">
        <v>45324</v>
      </c>
      <c r="G89" s="30">
        <v>45345</v>
      </c>
      <c r="H89" s="28">
        <v>21</v>
      </c>
      <c r="I89" s="28" t="s">
        <v>18</v>
      </c>
      <c r="J89" s="31">
        <v>0.25</v>
      </c>
      <c r="K89" s="28" t="s">
        <v>94</v>
      </c>
      <c r="L89" s="32">
        <v>3500</v>
      </c>
      <c r="M89" s="28">
        <v>0</v>
      </c>
      <c r="N89" s="32">
        <v>213101</v>
      </c>
      <c r="O89" s="28" t="s">
        <v>130</v>
      </c>
      <c r="P89" s="28" t="s">
        <v>130</v>
      </c>
    </row>
    <row r="90" spans="1:16" ht="15" customHeight="1" x14ac:dyDescent="0.25">
      <c r="A90" s="33">
        <v>87</v>
      </c>
      <c r="B90" s="34" t="s">
        <v>95</v>
      </c>
      <c r="C90" s="33" t="s">
        <v>98</v>
      </c>
      <c r="D90" s="33" t="s">
        <v>190</v>
      </c>
      <c r="E90" s="33" t="s">
        <v>232</v>
      </c>
      <c r="F90" s="35">
        <v>45373</v>
      </c>
      <c r="G90" s="35">
        <v>45394</v>
      </c>
      <c r="H90" s="33">
        <v>21</v>
      </c>
      <c r="I90" s="33" t="s">
        <v>102</v>
      </c>
      <c r="J90" s="36">
        <v>0</v>
      </c>
      <c r="K90" s="33" t="s">
        <v>75</v>
      </c>
      <c r="L90" s="37">
        <v>5500</v>
      </c>
      <c r="M90" s="33">
        <v>140</v>
      </c>
      <c r="N90" s="37">
        <v>578168</v>
      </c>
      <c r="O90" s="33" t="s">
        <v>130</v>
      </c>
      <c r="P90" s="33" t="s">
        <v>521</v>
      </c>
    </row>
    <row r="91" spans="1:16" ht="15" customHeight="1" x14ac:dyDescent="0.25">
      <c r="A91" s="33">
        <v>88</v>
      </c>
      <c r="B91" s="34" t="s">
        <v>99</v>
      </c>
      <c r="C91" s="33" t="s">
        <v>109</v>
      </c>
      <c r="D91" s="33" t="s">
        <v>204</v>
      </c>
      <c r="E91" s="33" t="s">
        <v>286</v>
      </c>
      <c r="F91" s="35">
        <v>45355</v>
      </c>
      <c r="G91" s="35">
        <v>45369</v>
      </c>
      <c r="H91" s="33">
        <v>14</v>
      </c>
      <c r="I91" s="33" t="s">
        <v>102</v>
      </c>
      <c r="J91" s="36">
        <v>0.5</v>
      </c>
      <c r="K91" s="33" t="s">
        <v>75</v>
      </c>
      <c r="L91" s="37">
        <v>3000</v>
      </c>
      <c r="M91" s="33">
        <v>60</v>
      </c>
      <c r="N91" s="37">
        <v>217697</v>
      </c>
      <c r="O91" s="33" t="s">
        <v>210</v>
      </c>
      <c r="P91" s="33" t="s">
        <v>522</v>
      </c>
    </row>
    <row r="92" spans="1:16" ht="15" customHeight="1" x14ac:dyDescent="0.25">
      <c r="A92" s="28">
        <v>89</v>
      </c>
      <c r="B92" s="29" t="s">
        <v>103</v>
      </c>
      <c r="C92" s="28" t="s">
        <v>74</v>
      </c>
      <c r="D92" s="28" t="s">
        <v>204</v>
      </c>
      <c r="E92" s="28" t="s">
        <v>182</v>
      </c>
      <c r="F92" s="30">
        <v>45350</v>
      </c>
      <c r="G92" s="30">
        <v>45364</v>
      </c>
      <c r="H92" s="28">
        <v>14</v>
      </c>
      <c r="I92" s="28" t="s">
        <v>18</v>
      </c>
      <c r="J92" s="31">
        <v>0.4</v>
      </c>
      <c r="K92" s="28" t="s">
        <v>126</v>
      </c>
      <c r="L92" s="32">
        <v>3000</v>
      </c>
      <c r="M92" s="28">
        <v>160</v>
      </c>
      <c r="N92" s="32">
        <v>652750</v>
      </c>
      <c r="O92" s="28" t="s">
        <v>210</v>
      </c>
      <c r="P92" s="28" t="s">
        <v>525</v>
      </c>
    </row>
    <row r="93" spans="1:16" ht="15" customHeight="1" x14ac:dyDescent="0.25">
      <c r="A93" s="23">
        <v>90</v>
      </c>
      <c r="B93" s="24" t="s">
        <v>106</v>
      </c>
      <c r="C93" s="23" t="s">
        <v>87</v>
      </c>
      <c r="D93" s="23" t="s">
        <v>227</v>
      </c>
      <c r="E93" s="23" t="s">
        <v>159</v>
      </c>
      <c r="F93" s="25">
        <v>45407</v>
      </c>
      <c r="G93" s="25">
        <v>45421</v>
      </c>
      <c r="H93" s="23">
        <v>14</v>
      </c>
      <c r="I93" s="23" t="s">
        <v>76</v>
      </c>
      <c r="J93" s="26">
        <v>0</v>
      </c>
      <c r="K93" s="23" t="s">
        <v>94</v>
      </c>
      <c r="L93" s="27">
        <v>4200</v>
      </c>
      <c r="M93" s="23">
        <v>0</v>
      </c>
      <c r="N93" s="27">
        <v>605806</v>
      </c>
      <c r="O93" s="23" t="s">
        <v>216</v>
      </c>
      <c r="P93" s="23" t="s">
        <v>524</v>
      </c>
    </row>
    <row r="94" spans="1:16" ht="15" customHeight="1" x14ac:dyDescent="0.25">
      <c r="A94" s="23">
        <v>91</v>
      </c>
      <c r="B94" s="24" t="s">
        <v>71</v>
      </c>
      <c r="C94" s="23" t="s">
        <v>98</v>
      </c>
      <c r="D94" s="23" t="s">
        <v>227</v>
      </c>
      <c r="E94" s="23" t="s">
        <v>123</v>
      </c>
      <c r="F94" s="25">
        <v>45422</v>
      </c>
      <c r="G94" s="25">
        <v>45434</v>
      </c>
      <c r="H94" s="23">
        <v>12</v>
      </c>
      <c r="I94" s="23" t="s">
        <v>76</v>
      </c>
      <c r="J94" s="26">
        <v>0.75</v>
      </c>
      <c r="K94" s="23" t="s">
        <v>126</v>
      </c>
      <c r="L94" s="27">
        <v>4000</v>
      </c>
      <c r="M94" s="23">
        <v>80</v>
      </c>
      <c r="N94" s="27">
        <v>88135</v>
      </c>
      <c r="O94" s="23" t="s">
        <v>172</v>
      </c>
      <c r="P94" s="23" t="s">
        <v>524</v>
      </c>
    </row>
    <row r="95" spans="1:16" ht="15" customHeight="1" x14ac:dyDescent="0.25">
      <c r="A95" s="23">
        <v>92</v>
      </c>
      <c r="B95" s="24" t="s">
        <v>77</v>
      </c>
      <c r="C95" s="23" t="s">
        <v>109</v>
      </c>
      <c r="D95" s="23" t="s">
        <v>140</v>
      </c>
      <c r="E95" s="23" t="s">
        <v>232</v>
      </c>
      <c r="F95" s="25">
        <v>45345</v>
      </c>
      <c r="G95" s="25">
        <v>45373</v>
      </c>
      <c r="H95" s="23">
        <v>28</v>
      </c>
      <c r="I95" s="23" t="s">
        <v>76</v>
      </c>
      <c r="J95" s="26">
        <v>1</v>
      </c>
      <c r="K95" s="23" t="s">
        <v>126</v>
      </c>
      <c r="L95" s="27">
        <v>2000</v>
      </c>
      <c r="M95" s="23">
        <v>120</v>
      </c>
      <c r="N95" s="27">
        <v>180191</v>
      </c>
      <c r="O95" s="23" t="s">
        <v>130</v>
      </c>
      <c r="P95" s="23" t="s">
        <v>523</v>
      </c>
    </row>
    <row r="96" spans="1:16" ht="15" customHeight="1" x14ac:dyDescent="0.25">
      <c r="A96" s="28">
        <v>93</v>
      </c>
      <c r="B96" s="29" t="s">
        <v>80</v>
      </c>
      <c r="C96" s="28" t="s">
        <v>74</v>
      </c>
      <c r="D96" s="28" t="s">
        <v>122</v>
      </c>
      <c r="E96" s="28" t="s">
        <v>286</v>
      </c>
      <c r="F96" s="30">
        <v>45333</v>
      </c>
      <c r="G96" s="30">
        <v>45340</v>
      </c>
      <c r="H96" s="28">
        <v>7</v>
      </c>
      <c r="I96" s="28" t="s">
        <v>18</v>
      </c>
      <c r="J96" s="31">
        <v>0.5</v>
      </c>
      <c r="K96" s="28" t="s">
        <v>75</v>
      </c>
      <c r="L96" s="32">
        <v>2000</v>
      </c>
      <c r="M96" s="28">
        <v>100</v>
      </c>
      <c r="N96" s="32">
        <v>735602</v>
      </c>
      <c r="O96" s="28" t="s">
        <v>216</v>
      </c>
      <c r="P96" s="28" t="s">
        <v>526</v>
      </c>
    </row>
    <row r="97" spans="1:16" ht="15" customHeight="1" x14ac:dyDescent="0.25">
      <c r="A97" s="28">
        <v>94</v>
      </c>
      <c r="B97" s="29" t="s">
        <v>84</v>
      </c>
      <c r="C97" s="28" t="s">
        <v>87</v>
      </c>
      <c r="D97" s="28" t="s">
        <v>236</v>
      </c>
      <c r="E97" s="28" t="s">
        <v>182</v>
      </c>
      <c r="F97" s="30">
        <v>45323</v>
      </c>
      <c r="G97" s="30">
        <v>45335</v>
      </c>
      <c r="H97" s="28">
        <v>12</v>
      </c>
      <c r="I97" s="28" t="s">
        <v>18</v>
      </c>
      <c r="J97" s="31">
        <v>0.65</v>
      </c>
      <c r="K97" s="28" t="s">
        <v>126</v>
      </c>
      <c r="L97" s="32">
        <v>3000</v>
      </c>
      <c r="M97" s="28">
        <v>160</v>
      </c>
      <c r="N97" s="32">
        <v>793885</v>
      </c>
      <c r="O97" s="28" t="s">
        <v>226</v>
      </c>
      <c r="P97" s="28" t="s">
        <v>522</v>
      </c>
    </row>
    <row r="98" spans="1:16" ht="15" customHeight="1" x14ac:dyDescent="0.25">
      <c r="A98" s="28">
        <v>95</v>
      </c>
      <c r="B98" s="29" t="s">
        <v>88</v>
      </c>
      <c r="C98" s="28" t="s">
        <v>98</v>
      </c>
      <c r="D98" s="28" t="s">
        <v>158</v>
      </c>
      <c r="E98" s="28" t="s">
        <v>159</v>
      </c>
      <c r="F98" s="30">
        <v>45417</v>
      </c>
      <c r="G98" s="30">
        <v>45424</v>
      </c>
      <c r="H98" s="28">
        <v>7</v>
      </c>
      <c r="I98" s="28" t="s">
        <v>18</v>
      </c>
      <c r="J98" s="31">
        <v>0</v>
      </c>
      <c r="K98" s="28" t="s">
        <v>126</v>
      </c>
      <c r="L98" s="32">
        <v>5500</v>
      </c>
      <c r="M98" s="28">
        <v>140</v>
      </c>
      <c r="N98" s="32">
        <v>561639</v>
      </c>
      <c r="O98" s="28" t="s">
        <v>216</v>
      </c>
      <c r="P98" s="28" t="s">
        <v>130</v>
      </c>
    </row>
    <row r="99" spans="1:16" ht="15" customHeight="1" x14ac:dyDescent="0.25">
      <c r="A99" s="28">
        <v>96</v>
      </c>
      <c r="B99" s="29" t="s">
        <v>91</v>
      </c>
      <c r="C99" s="28" t="s">
        <v>109</v>
      </c>
      <c r="D99" s="28" t="s">
        <v>337</v>
      </c>
      <c r="E99" s="28" t="s">
        <v>123</v>
      </c>
      <c r="F99" s="30">
        <v>45319</v>
      </c>
      <c r="G99" s="30">
        <v>45347</v>
      </c>
      <c r="H99" s="28">
        <v>28</v>
      </c>
      <c r="I99" s="28" t="s">
        <v>18</v>
      </c>
      <c r="J99" s="31">
        <v>0.25</v>
      </c>
      <c r="K99" s="28" t="s">
        <v>75</v>
      </c>
      <c r="L99" s="32">
        <v>2000</v>
      </c>
      <c r="M99" s="28">
        <v>80</v>
      </c>
      <c r="N99" s="32">
        <v>247793</v>
      </c>
      <c r="O99" s="28" t="s">
        <v>130</v>
      </c>
      <c r="P99" s="28" t="s">
        <v>526</v>
      </c>
    </row>
    <row r="100" spans="1:16" ht="15" customHeight="1" x14ac:dyDescent="0.25">
      <c r="A100" s="33">
        <v>97</v>
      </c>
      <c r="B100" s="34" t="s">
        <v>95</v>
      </c>
      <c r="C100" s="33" t="s">
        <v>74</v>
      </c>
      <c r="D100" s="33" t="s">
        <v>6</v>
      </c>
      <c r="E100" s="33" t="s">
        <v>232</v>
      </c>
      <c r="F100" s="35">
        <v>45417</v>
      </c>
      <c r="G100" s="35">
        <v>45431</v>
      </c>
      <c r="H100" s="33">
        <v>14</v>
      </c>
      <c r="I100" s="33" t="s">
        <v>102</v>
      </c>
      <c r="J100" s="36">
        <v>0.5</v>
      </c>
      <c r="K100" s="33" t="s">
        <v>94</v>
      </c>
      <c r="L100" s="37">
        <v>4000</v>
      </c>
      <c r="M100" s="33">
        <v>168</v>
      </c>
      <c r="N100" s="37">
        <v>131140</v>
      </c>
      <c r="O100" s="33" t="s">
        <v>216</v>
      </c>
      <c r="P100" s="33" t="s">
        <v>525</v>
      </c>
    </row>
    <row r="101" spans="1:16" ht="15" customHeight="1" x14ac:dyDescent="0.25">
      <c r="A101" s="28">
        <v>98</v>
      </c>
      <c r="B101" s="29" t="s">
        <v>99</v>
      </c>
      <c r="C101" s="28" t="s">
        <v>87</v>
      </c>
      <c r="D101" s="28" t="s">
        <v>6</v>
      </c>
      <c r="E101" s="28" t="s">
        <v>286</v>
      </c>
      <c r="F101" s="30">
        <v>45442</v>
      </c>
      <c r="G101" s="30">
        <v>45452</v>
      </c>
      <c r="H101" s="28">
        <v>10</v>
      </c>
      <c r="I101" s="28" t="s">
        <v>18</v>
      </c>
      <c r="J101" s="31">
        <v>0.4</v>
      </c>
      <c r="K101" s="28" t="s">
        <v>83</v>
      </c>
      <c r="L101" s="32">
        <v>3000</v>
      </c>
      <c r="M101" s="28">
        <v>80</v>
      </c>
      <c r="N101" s="32">
        <v>171017</v>
      </c>
      <c r="O101" s="28" t="s">
        <v>210</v>
      </c>
      <c r="P101" s="28" t="s">
        <v>130</v>
      </c>
    </row>
    <row r="102" spans="1:16" ht="15" customHeight="1" x14ac:dyDescent="0.25">
      <c r="A102" s="28">
        <v>99</v>
      </c>
      <c r="B102" s="29" t="s">
        <v>103</v>
      </c>
      <c r="C102" s="28" t="s">
        <v>98</v>
      </c>
      <c r="D102" s="28" t="s">
        <v>298</v>
      </c>
      <c r="E102" s="28" t="s">
        <v>182</v>
      </c>
      <c r="F102" s="30">
        <v>45321</v>
      </c>
      <c r="G102" s="30">
        <v>45333</v>
      </c>
      <c r="H102" s="28">
        <v>12</v>
      </c>
      <c r="I102" s="28" t="s">
        <v>18</v>
      </c>
      <c r="J102" s="31">
        <v>0.25</v>
      </c>
      <c r="K102" s="28" t="s">
        <v>126</v>
      </c>
      <c r="L102" s="32">
        <v>4200</v>
      </c>
      <c r="M102" s="28">
        <v>168</v>
      </c>
      <c r="N102" s="32">
        <v>769059</v>
      </c>
      <c r="O102" s="28" t="s">
        <v>210</v>
      </c>
      <c r="P102" s="28" t="s">
        <v>130</v>
      </c>
    </row>
    <row r="103" spans="1:16" ht="15" customHeight="1" x14ac:dyDescent="0.25">
      <c r="A103" s="28">
        <v>100</v>
      </c>
      <c r="B103" s="29" t="s">
        <v>106</v>
      </c>
      <c r="C103" s="28" t="s">
        <v>109</v>
      </c>
      <c r="D103" s="28" t="s">
        <v>181</v>
      </c>
      <c r="E103" s="28" t="s">
        <v>159</v>
      </c>
      <c r="F103" s="30">
        <v>45367</v>
      </c>
      <c r="G103" s="30">
        <v>45388</v>
      </c>
      <c r="H103" s="28">
        <v>21</v>
      </c>
      <c r="I103" s="28" t="s">
        <v>18</v>
      </c>
      <c r="J103" s="31">
        <v>0.65</v>
      </c>
      <c r="K103" s="28" t="s">
        <v>75</v>
      </c>
      <c r="L103" s="32">
        <v>3500</v>
      </c>
      <c r="M103" s="28">
        <v>60</v>
      </c>
      <c r="N103" s="32">
        <v>719820</v>
      </c>
      <c r="O103" s="28" t="s">
        <v>216</v>
      </c>
      <c r="P103" s="28" t="s">
        <v>522</v>
      </c>
    </row>
    <row r="104" spans="1:16" ht="15" customHeight="1" x14ac:dyDescent="0.25">
      <c r="A104" s="28">
        <v>101</v>
      </c>
      <c r="B104" s="29" t="s">
        <v>71</v>
      </c>
      <c r="C104" s="28" t="s">
        <v>74</v>
      </c>
      <c r="D104" s="28" t="s">
        <v>173</v>
      </c>
      <c r="E104" s="28" t="s">
        <v>123</v>
      </c>
      <c r="F104" s="30">
        <v>45339</v>
      </c>
      <c r="G104" s="30">
        <v>45360</v>
      </c>
      <c r="H104" s="28">
        <v>21</v>
      </c>
      <c r="I104" s="28" t="s">
        <v>18</v>
      </c>
      <c r="J104" s="31">
        <v>0.25</v>
      </c>
      <c r="K104" s="28" t="s">
        <v>83</v>
      </c>
      <c r="L104" s="32">
        <v>5000</v>
      </c>
      <c r="M104" s="28">
        <v>100</v>
      </c>
      <c r="N104" s="32">
        <v>109309</v>
      </c>
      <c r="O104" s="28" t="s">
        <v>210</v>
      </c>
      <c r="P104" s="28" t="s">
        <v>522</v>
      </c>
    </row>
    <row r="105" spans="1:16" ht="15" customHeight="1" x14ac:dyDescent="0.25">
      <c r="A105" s="33">
        <v>102</v>
      </c>
      <c r="B105" s="34" t="s">
        <v>77</v>
      </c>
      <c r="C105" s="33" t="s">
        <v>87</v>
      </c>
      <c r="D105" s="33" t="s">
        <v>190</v>
      </c>
      <c r="E105" s="33" t="s">
        <v>232</v>
      </c>
      <c r="F105" s="35">
        <v>45292</v>
      </c>
      <c r="G105" s="35">
        <v>45320</v>
      </c>
      <c r="H105" s="33">
        <v>28</v>
      </c>
      <c r="I105" s="33" t="s">
        <v>102</v>
      </c>
      <c r="J105" s="36">
        <v>0.4</v>
      </c>
      <c r="K105" s="33" t="s">
        <v>94</v>
      </c>
      <c r="L105" s="37">
        <v>5500</v>
      </c>
      <c r="M105" s="33">
        <v>168</v>
      </c>
      <c r="N105" s="37">
        <v>385927</v>
      </c>
      <c r="O105" s="33" t="s">
        <v>216</v>
      </c>
      <c r="P105" s="33" t="s">
        <v>521</v>
      </c>
    </row>
    <row r="106" spans="1:16" ht="15" customHeight="1" x14ac:dyDescent="0.25">
      <c r="A106" s="23">
        <v>103</v>
      </c>
      <c r="B106" s="24" t="s">
        <v>80</v>
      </c>
      <c r="C106" s="23" t="s">
        <v>98</v>
      </c>
      <c r="D106" s="23" t="s">
        <v>204</v>
      </c>
      <c r="E106" s="23" t="s">
        <v>286</v>
      </c>
      <c r="F106" s="25">
        <v>45298</v>
      </c>
      <c r="G106" s="25">
        <v>45308</v>
      </c>
      <c r="H106" s="23">
        <v>10</v>
      </c>
      <c r="I106" s="23" t="s">
        <v>76</v>
      </c>
      <c r="J106" s="26">
        <v>0.5</v>
      </c>
      <c r="K106" s="23" t="s">
        <v>75</v>
      </c>
      <c r="L106" s="27">
        <v>3500</v>
      </c>
      <c r="M106" s="23">
        <v>120</v>
      </c>
      <c r="N106" s="27">
        <v>701196</v>
      </c>
      <c r="O106" s="23" t="s">
        <v>210</v>
      </c>
      <c r="P106" s="23" t="s">
        <v>526</v>
      </c>
    </row>
    <row r="107" spans="1:16" ht="15" customHeight="1" x14ac:dyDescent="0.25">
      <c r="A107" s="23">
        <v>104</v>
      </c>
      <c r="B107" s="24" t="s">
        <v>84</v>
      </c>
      <c r="C107" s="23" t="s">
        <v>109</v>
      </c>
      <c r="D107" s="23" t="s">
        <v>190</v>
      </c>
      <c r="E107" s="23" t="s">
        <v>182</v>
      </c>
      <c r="F107" s="25">
        <v>45296</v>
      </c>
      <c r="G107" s="25">
        <v>45317</v>
      </c>
      <c r="H107" s="23">
        <v>21</v>
      </c>
      <c r="I107" s="23" t="s">
        <v>76</v>
      </c>
      <c r="J107" s="26">
        <v>0.25</v>
      </c>
      <c r="K107" s="23" t="s">
        <v>83</v>
      </c>
      <c r="L107" s="27">
        <v>4200</v>
      </c>
      <c r="M107" s="23">
        <v>60</v>
      </c>
      <c r="N107" s="27">
        <v>295747</v>
      </c>
      <c r="O107" s="23" t="s">
        <v>210</v>
      </c>
      <c r="P107" s="23" t="s">
        <v>526</v>
      </c>
    </row>
    <row r="108" spans="1:16" ht="15" customHeight="1" x14ac:dyDescent="0.25">
      <c r="A108" s="28">
        <v>105</v>
      </c>
      <c r="B108" s="29" t="s">
        <v>88</v>
      </c>
      <c r="C108" s="28" t="s">
        <v>74</v>
      </c>
      <c r="D108" s="28" t="s">
        <v>211</v>
      </c>
      <c r="E108" s="28" t="s">
        <v>159</v>
      </c>
      <c r="F108" s="30">
        <v>45341</v>
      </c>
      <c r="G108" s="30">
        <v>45362</v>
      </c>
      <c r="H108" s="28">
        <v>21</v>
      </c>
      <c r="I108" s="28" t="s">
        <v>18</v>
      </c>
      <c r="J108" s="31">
        <v>0.75</v>
      </c>
      <c r="K108" s="28" t="s">
        <v>94</v>
      </c>
      <c r="L108" s="32">
        <v>5000</v>
      </c>
      <c r="M108" s="28">
        <v>80</v>
      </c>
      <c r="N108" s="32">
        <v>859197</v>
      </c>
      <c r="O108" s="28" t="s">
        <v>130</v>
      </c>
      <c r="P108" s="28" t="s">
        <v>523</v>
      </c>
    </row>
    <row r="109" spans="1:16" ht="15" customHeight="1" x14ac:dyDescent="0.25">
      <c r="A109" s="28">
        <v>106</v>
      </c>
      <c r="B109" s="29" t="s">
        <v>91</v>
      </c>
      <c r="C109" s="28" t="s">
        <v>87</v>
      </c>
      <c r="D109" s="28" t="s">
        <v>140</v>
      </c>
      <c r="E109" s="28" t="s">
        <v>123</v>
      </c>
      <c r="F109" s="30">
        <v>45310</v>
      </c>
      <c r="G109" s="30">
        <v>45317</v>
      </c>
      <c r="H109" s="28">
        <v>7</v>
      </c>
      <c r="I109" s="28" t="s">
        <v>18</v>
      </c>
      <c r="J109" s="31">
        <v>0</v>
      </c>
      <c r="K109" s="28" t="s">
        <v>126</v>
      </c>
      <c r="L109" s="32">
        <v>3500</v>
      </c>
      <c r="M109" s="28">
        <v>120</v>
      </c>
      <c r="N109" s="32">
        <v>889984</v>
      </c>
      <c r="O109" s="28" t="s">
        <v>226</v>
      </c>
      <c r="P109" s="28" t="s">
        <v>525</v>
      </c>
    </row>
    <row r="110" spans="1:16" ht="15" customHeight="1" x14ac:dyDescent="0.25">
      <c r="A110" s="33">
        <v>107</v>
      </c>
      <c r="B110" s="34" t="s">
        <v>95</v>
      </c>
      <c r="C110" s="33" t="s">
        <v>98</v>
      </c>
      <c r="D110" s="33" t="s">
        <v>140</v>
      </c>
      <c r="E110" s="33" t="s">
        <v>232</v>
      </c>
      <c r="F110" s="35">
        <v>45401</v>
      </c>
      <c r="G110" s="35">
        <v>45429</v>
      </c>
      <c r="H110" s="33">
        <v>28</v>
      </c>
      <c r="I110" s="33" t="s">
        <v>102</v>
      </c>
      <c r="J110" s="36">
        <v>0</v>
      </c>
      <c r="K110" s="33" t="s">
        <v>126</v>
      </c>
      <c r="L110" s="37">
        <v>5000</v>
      </c>
      <c r="M110" s="33">
        <v>60</v>
      </c>
      <c r="N110" s="37">
        <v>730288</v>
      </c>
      <c r="O110" s="33" t="s">
        <v>130</v>
      </c>
      <c r="P110" s="33" t="s">
        <v>526</v>
      </c>
    </row>
    <row r="111" spans="1:16" ht="15" customHeight="1" x14ac:dyDescent="0.25">
      <c r="A111" s="23">
        <v>108</v>
      </c>
      <c r="B111" s="24" t="s">
        <v>99</v>
      </c>
      <c r="C111" s="23" t="s">
        <v>109</v>
      </c>
      <c r="D111" s="23" t="s">
        <v>122</v>
      </c>
      <c r="E111" s="23" t="s">
        <v>286</v>
      </c>
      <c r="F111" s="25">
        <v>45298</v>
      </c>
      <c r="G111" s="25">
        <v>45312</v>
      </c>
      <c r="H111" s="23">
        <v>14</v>
      </c>
      <c r="I111" s="23" t="s">
        <v>76</v>
      </c>
      <c r="J111" s="26">
        <v>1</v>
      </c>
      <c r="K111" s="23" t="s">
        <v>75</v>
      </c>
      <c r="L111" s="27">
        <v>2000</v>
      </c>
      <c r="M111" s="23">
        <v>100</v>
      </c>
      <c r="N111" s="27">
        <v>524996</v>
      </c>
      <c r="O111" s="23" t="s">
        <v>130</v>
      </c>
      <c r="P111" s="23" t="s">
        <v>521</v>
      </c>
    </row>
    <row r="112" spans="1:16" ht="15" customHeight="1" x14ac:dyDescent="0.25">
      <c r="A112" s="23">
        <v>109</v>
      </c>
      <c r="B112" s="24" t="s">
        <v>103</v>
      </c>
      <c r="C112" s="23" t="s">
        <v>74</v>
      </c>
      <c r="D112" s="23" t="s">
        <v>122</v>
      </c>
      <c r="E112" s="23" t="s">
        <v>182</v>
      </c>
      <c r="F112" s="25">
        <v>45414</v>
      </c>
      <c r="G112" s="25">
        <v>45421</v>
      </c>
      <c r="H112" s="23">
        <v>7</v>
      </c>
      <c r="I112" s="23" t="s">
        <v>76</v>
      </c>
      <c r="J112" s="26">
        <v>0.4</v>
      </c>
      <c r="K112" s="23" t="s">
        <v>75</v>
      </c>
      <c r="L112" s="27">
        <v>3000</v>
      </c>
      <c r="M112" s="23">
        <v>140</v>
      </c>
      <c r="N112" s="27">
        <v>424476</v>
      </c>
      <c r="O112" s="23" t="s">
        <v>130</v>
      </c>
      <c r="P112" s="23" t="s">
        <v>525</v>
      </c>
    </row>
    <row r="113" spans="1:16" ht="15" customHeight="1" x14ac:dyDescent="0.25">
      <c r="A113" s="23">
        <v>110</v>
      </c>
      <c r="B113" s="24" t="s">
        <v>106</v>
      </c>
      <c r="C113" s="23" t="s">
        <v>87</v>
      </c>
      <c r="D113" s="23" t="s">
        <v>245</v>
      </c>
      <c r="E113" s="23" t="s">
        <v>159</v>
      </c>
      <c r="F113" s="25">
        <v>45300</v>
      </c>
      <c r="G113" s="25">
        <v>45307</v>
      </c>
      <c r="H113" s="23">
        <v>7</v>
      </c>
      <c r="I113" s="23" t="s">
        <v>76</v>
      </c>
      <c r="J113" s="26">
        <v>1</v>
      </c>
      <c r="K113" s="23" t="s">
        <v>83</v>
      </c>
      <c r="L113" s="27">
        <v>2000</v>
      </c>
      <c r="M113" s="23">
        <v>160</v>
      </c>
      <c r="N113" s="27">
        <v>696213</v>
      </c>
      <c r="O113" s="23" t="s">
        <v>226</v>
      </c>
      <c r="P113" s="23" t="s">
        <v>526</v>
      </c>
    </row>
    <row r="114" spans="1:16" ht="15" customHeight="1" x14ac:dyDescent="0.25">
      <c r="A114" s="23">
        <v>111</v>
      </c>
      <c r="B114" s="24" t="s">
        <v>71</v>
      </c>
      <c r="C114" s="23" t="s">
        <v>98</v>
      </c>
      <c r="D114" s="23" t="s">
        <v>158</v>
      </c>
      <c r="E114" s="23" t="s">
        <v>123</v>
      </c>
      <c r="F114" s="25">
        <v>45421</v>
      </c>
      <c r="G114" s="25">
        <v>45442</v>
      </c>
      <c r="H114" s="23">
        <v>21</v>
      </c>
      <c r="I114" s="23" t="s">
        <v>76</v>
      </c>
      <c r="J114" s="26">
        <v>0</v>
      </c>
      <c r="K114" s="23" t="s">
        <v>75</v>
      </c>
      <c r="L114" s="27">
        <v>3000</v>
      </c>
      <c r="M114" s="23">
        <v>60</v>
      </c>
      <c r="N114" s="27">
        <v>218588</v>
      </c>
      <c r="O114" s="23" t="s">
        <v>130</v>
      </c>
      <c r="P114" s="23" t="s">
        <v>130</v>
      </c>
    </row>
    <row r="115" spans="1:16" ht="15" customHeight="1" x14ac:dyDescent="0.25">
      <c r="A115" s="28">
        <v>112</v>
      </c>
      <c r="B115" s="29" t="s">
        <v>77</v>
      </c>
      <c r="C115" s="28" t="s">
        <v>109</v>
      </c>
      <c r="D115" s="28" t="s">
        <v>337</v>
      </c>
      <c r="E115" s="28" t="s">
        <v>232</v>
      </c>
      <c r="F115" s="30">
        <v>45361</v>
      </c>
      <c r="G115" s="30">
        <v>45375</v>
      </c>
      <c r="H115" s="28">
        <v>14</v>
      </c>
      <c r="I115" s="28" t="s">
        <v>18</v>
      </c>
      <c r="J115" s="31">
        <v>1</v>
      </c>
      <c r="K115" s="28" t="s">
        <v>75</v>
      </c>
      <c r="L115" s="32">
        <v>5500</v>
      </c>
      <c r="M115" s="28">
        <v>80</v>
      </c>
      <c r="N115" s="32">
        <v>72144</v>
      </c>
      <c r="O115" s="28" t="s">
        <v>235</v>
      </c>
      <c r="P115" s="28" t="s">
        <v>521</v>
      </c>
    </row>
    <row r="116" spans="1:16" ht="15" customHeight="1" x14ac:dyDescent="0.25">
      <c r="A116" s="23">
        <v>113</v>
      </c>
      <c r="B116" s="24" t="s">
        <v>80</v>
      </c>
      <c r="C116" s="23" t="s">
        <v>74</v>
      </c>
      <c r="D116" s="23" t="s">
        <v>337</v>
      </c>
      <c r="E116" s="23" t="s">
        <v>286</v>
      </c>
      <c r="F116" s="25">
        <v>45420</v>
      </c>
      <c r="G116" s="25">
        <v>45448</v>
      </c>
      <c r="H116" s="23">
        <v>28</v>
      </c>
      <c r="I116" s="23" t="s">
        <v>76</v>
      </c>
      <c r="J116" s="26">
        <v>0.75</v>
      </c>
      <c r="K116" s="23" t="s">
        <v>126</v>
      </c>
      <c r="L116" s="27">
        <v>5000</v>
      </c>
      <c r="M116" s="23">
        <v>140</v>
      </c>
      <c r="N116" s="27">
        <v>326672</v>
      </c>
      <c r="O116" s="23" t="s">
        <v>226</v>
      </c>
      <c r="P116" s="23" t="s">
        <v>524</v>
      </c>
    </row>
    <row r="117" spans="1:16" ht="15" customHeight="1" x14ac:dyDescent="0.25">
      <c r="A117" s="28">
        <v>114</v>
      </c>
      <c r="B117" s="29" t="s">
        <v>84</v>
      </c>
      <c r="C117" s="28" t="s">
        <v>87</v>
      </c>
      <c r="D117" s="28" t="s">
        <v>173</v>
      </c>
      <c r="E117" s="28" t="s">
        <v>182</v>
      </c>
      <c r="F117" s="30">
        <v>45408</v>
      </c>
      <c r="G117" s="30">
        <v>45422</v>
      </c>
      <c r="H117" s="28">
        <v>14</v>
      </c>
      <c r="I117" s="28" t="s">
        <v>18</v>
      </c>
      <c r="J117" s="31">
        <v>0.65</v>
      </c>
      <c r="K117" s="28" t="s">
        <v>94</v>
      </c>
      <c r="L117" s="32">
        <v>4000</v>
      </c>
      <c r="M117" s="28">
        <v>60</v>
      </c>
      <c r="N117" s="32">
        <v>321071</v>
      </c>
      <c r="O117" s="28" t="s">
        <v>130</v>
      </c>
      <c r="P117" s="28" t="s">
        <v>522</v>
      </c>
    </row>
    <row r="118" spans="1:16" ht="15" customHeight="1" x14ac:dyDescent="0.25">
      <c r="A118" s="28">
        <v>115</v>
      </c>
      <c r="B118" s="29" t="s">
        <v>88</v>
      </c>
      <c r="C118" s="28" t="s">
        <v>98</v>
      </c>
      <c r="D118" s="28" t="s">
        <v>298</v>
      </c>
      <c r="E118" s="28" t="s">
        <v>159</v>
      </c>
      <c r="F118" s="30">
        <v>45441</v>
      </c>
      <c r="G118" s="30">
        <v>45451</v>
      </c>
      <c r="H118" s="28">
        <v>10</v>
      </c>
      <c r="I118" s="28" t="s">
        <v>18</v>
      </c>
      <c r="J118" s="31">
        <v>0.4</v>
      </c>
      <c r="K118" s="28" t="s">
        <v>94</v>
      </c>
      <c r="L118" s="32">
        <v>4200</v>
      </c>
      <c r="M118" s="28">
        <v>80</v>
      </c>
      <c r="N118" s="32">
        <v>419491</v>
      </c>
      <c r="O118" s="28" t="s">
        <v>226</v>
      </c>
      <c r="P118" s="28" t="s">
        <v>130</v>
      </c>
    </row>
    <row r="119" spans="1:16" ht="15" customHeight="1" x14ac:dyDescent="0.25">
      <c r="A119" s="28">
        <v>116</v>
      </c>
      <c r="B119" s="29" t="s">
        <v>91</v>
      </c>
      <c r="C119" s="28" t="s">
        <v>109</v>
      </c>
      <c r="D119" s="28" t="s">
        <v>413</v>
      </c>
      <c r="E119" s="28" t="s">
        <v>123</v>
      </c>
      <c r="F119" s="30">
        <v>45362</v>
      </c>
      <c r="G119" s="30">
        <v>45374</v>
      </c>
      <c r="H119" s="28">
        <v>12</v>
      </c>
      <c r="I119" s="28" t="s">
        <v>18</v>
      </c>
      <c r="J119" s="31">
        <v>1</v>
      </c>
      <c r="K119" s="28" t="s">
        <v>83</v>
      </c>
      <c r="L119" s="32">
        <v>4000</v>
      </c>
      <c r="M119" s="28">
        <v>80</v>
      </c>
      <c r="N119" s="32">
        <v>399625</v>
      </c>
      <c r="O119" s="28" t="s">
        <v>210</v>
      </c>
      <c r="P119" s="28" t="s">
        <v>525</v>
      </c>
    </row>
    <row r="120" spans="1:16" ht="15" customHeight="1" x14ac:dyDescent="0.25">
      <c r="A120" s="33">
        <v>117</v>
      </c>
      <c r="B120" s="34" t="s">
        <v>95</v>
      </c>
      <c r="C120" s="33" t="s">
        <v>74</v>
      </c>
      <c r="D120" s="33" t="s">
        <v>190</v>
      </c>
      <c r="E120" s="33" t="s">
        <v>232</v>
      </c>
      <c r="F120" s="35">
        <v>45403</v>
      </c>
      <c r="G120" s="35">
        <v>45415</v>
      </c>
      <c r="H120" s="33">
        <v>12</v>
      </c>
      <c r="I120" s="33" t="s">
        <v>102</v>
      </c>
      <c r="J120" s="36">
        <v>0.5</v>
      </c>
      <c r="K120" s="33" t="s">
        <v>75</v>
      </c>
      <c r="L120" s="37">
        <v>4200</v>
      </c>
      <c r="M120" s="33">
        <v>140</v>
      </c>
      <c r="N120" s="37">
        <v>63596</v>
      </c>
      <c r="O120" s="33" t="s">
        <v>130</v>
      </c>
      <c r="P120" s="33" t="s">
        <v>130</v>
      </c>
    </row>
    <row r="121" spans="1:16" ht="15" customHeight="1" x14ac:dyDescent="0.25">
      <c r="A121" s="23">
        <v>118</v>
      </c>
      <c r="B121" s="24" t="s">
        <v>99</v>
      </c>
      <c r="C121" s="23" t="s">
        <v>87</v>
      </c>
      <c r="D121" s="23" t="s">
        <v>204</v>
      </c>
      <c r="E121" s="23" t="s">
        <v>286</v>
      </c>
      <c r="F121" s="25">
        <v>45394</v>
      </c>
      <c r="G121" s="25">
        <v>45408</v>
      </c>
      <c r="H121" s="23">
        <v>14</v>
      </c>
      <c r="I121" s="23" t="s">
        <v>76</v>
      </c>
      <c r="J121" s="26">
        <v>0.4</v>
      </c>
      <c r="K121" s="23" t="s">
        <v>75</v>
      </c>
      <c r="L121" s="27">
        <v>5000</v>
      </c>
      <c r="M121" s="23">
        <v>80</v>
      </c>
      <c r="N121" s="27">
        <v>326568</v>
      </c>
      <c r="O121" s="23" t="s">
        <v>216</v>
      </c>
      <c r="P121" s="23" t="s">
        <v>523</v>
      </c>
    </row>
    <row r="122" spans="1:16" ht="15" customHeight="1" x14ac:dyDescent="0.25">
      <c r="A122" s="23">
        <v>119</v>
      </c>
      <c r="B122" s="24" t="s">
        <v>103</v>
      </c>
      <c r="C122" s="23" t="s">
        <v>98</v>
      </c>
      <c r="D122" s="23" t="s">
        <v>204</v>
      </c>
      <c r="E122" s="23" t="s">
        <v>182</v>
      </c>
      <c r="F122" s="25">
        <v>45364</v>
      </c>
      <c r="G122" s="25">
        <v>45376</v>
      </c>
      <c r="H122" s="23">
        <v>12</v>
      </c>
      <c r="I122" s="23" t="s">
        <v>76</v>
      </c>
      <c r="J122" s="26">
        <v>0</v>
      </c>
      <c r="K122" s="23" t="s">
        <v>75</v>
      </c>
      <c r="L122" s="27">
        <v>4200</v>
      </c>
      <c r="M122" s="23">
        <v>80</v>
      </c>
      <c r="N122" s="27">
        <v>160535</v>
      </c>
      <c r="O122" s="23" t="s">
        <v>226</v>
      </c>
      <c r="P122" s="23" t="s">
        <v>521</v>
      </c>
    </row>
    <row r="123" spans="1:16" ht="15" customHeight="1" x14ac:dyDescent="0.25">
      <c r="A123" s="28">
        <v>120</v>
      </c>
      <c r="B123" s="29" t="s">
        <v>106</v>
      </c>
      <c r="C123" s="28" t="s">
        <v>109</v>
      </c>
      <c r="D123" s="28" t="s">
        <v>204</v>
      </c>
      <c r="E123" s="28" t="s">
        <v>159</v>
      </c>
      <c r="F123" s="30">
        <v>45386</v>
      </c>
      <c r="G123" s="30">
        <v>45398</v>
      </c>
      <c r="H123" s="28">
        <v>12</v>
      </c>
      <c r="I123" s="28" t="s">
        <v>18</v>
      </c>
      <c r="J123" s="31">
        <v>0.5</v>
      </c>
      <c r="K123" s="28" t="s">
        <v>83</v>
      </c>
      <c r="L123" s="32">
        <v>4200</v>
      </c>
      <c r="M123" s="28">
        <v>80</v>
      </c>
      <c r="N123" s="32">
        <v>168671</v>
      </c>
      <c r="O123" s="28" t="s">
        <v>216</v>
      </c>
      <c r="P123" s="28" t="s">
        <v>523</v>
      </c>
    </row>
    <row r="124" spans="1:16" ht="15" customHeight="1" x14ac:dyDescent="0.25">
      <c r="A124" s="33">
        <v>121</v>
      </c>
      <c r="B124" s="34" t="s">
        <v>71</v>
      </c>
      <c r="C124" s="33" t="s">
        <v>74</v>
      </c>
      <c r="D124" s="33" t="s">
        <v>227</v>
      </c>
      <c r="E124" s="33" t="s">
        <v>123</v>
      </c>
      <c r="F124" s="35">
        <v>45376</v>
      </c>
      <c r="G124" s="35">
        <v>45404</v>
      </c>
      <c r="H124" s="33">
        <v>28</v>
      </c>
      <c r="I124" s="33" t="s">
        <v>102</v>
      </c>
      <c r="J124" s="36">
        <v>0</v>
      </c>
      <c r="K124" s="33" t="s">
        <v>126</v>
      </c>
      <c r="L124" s="37">
        <v>5500</v>
      </c>
      <c r="M124" s="33">
        <v>60</v>
      </c>
      <c r="N124" s="37">
        <v>825744</v>
      </c>
      <c r="O124" s="33" t="s">
        <v>210</v>
      </c>
      <c r="P124" s="33" t="s">
        <v>130</v>
      </c>
    </row>
    <row r="125" spans="1:16" ht="15" customHeight="1" x14ac:dyDescent="0.25">
      <c r="A125" s="33">
        <v>122</v>
      </c>
      <c r="B125" s="34" t="s">
        <v>77</v>
      </c>
      <c r="C125" s="33" t="s">
        <v>87</v>
      </c>
      <c r="D125" s="33" t="s">
        <v>122</v>
      </c>
      <c r="E125" s="33" t="s">
        <v>232</v>
      </c>
      <c r="F125" s="35">
        <v>45308</v>
      </c>
      <c r="G125" s="35">
        <v>45329</v>
      </c>
      <c r="H125" s="33">
        <v>21</v>
      </c>
      <c r="I125" s="33" t="s">
        <v>102</v>
      </c>
      <c r="J125" s="36">
        <v>0.4</v>
      </c>
      <c r="K125" s="33" t="s">
        <v>94</v>
      </c>
      <c r="L125" s="37">
        <v>3500</v>
      </c>
      <c r="M125" s="33">
        <v>140</v>
      </c>
      <c r="N125" s="37">
        <v>65426</v>
      </c>
      <c r="O125" s="33" t="s">
        <v>130</v>
      </c>
      <c r="P125" s="33" t="s">
        <v>526</v>
      </c>
    </row>
    <row r="126" spans="1:16" ht="15" customHeight="1" x14ac:dyDescent="0.25">
      <c r="A126" s="33">
        <v>123</v>
      </c>
      <c r="B126" s="34" t="s">
        <v>80</v>
      </c>
      <c r="C126" s="33" t="s">
        <v>98</v>
      </c>
      <c r="D126" s="33" t="s">
        <v>140</v>
      </c>
      <c r="E126" s="33" t="s">
        <v>286</v>
      </c>
      <c r="F126" s="35">
        <v>45335</v>
      </c>
      <c r="G126" s="35">
        <v>45342</v>
      </c>
      <c r="H126" s="33">
        <v>7</v>
      </c>
      <c r="I126" s="33" t="s">
        <v>102</v>
      </c>
      <c r="J126" s="36">
        <v>0.75</v>
      </c>
      <c r="K126" s="33" t="s">
        <v>126</v>
      </c>
      <c r="L126" s="37">
        <v>3000</v>
      </c>
      <c r="M126" s="33">
        <v>0</v>
      </c>
      <c r="N126" s="37">
        <v>764971</v>
      </c>
      <c r="O126" s="33" t="s">
        <v>130</v>
      </c>
      <c r="P126" s="33" t="s">
        <v>522</v>
      </c>
    </row>
    <row r="127" spans="1:16" ht="15" customHeight="1" x14ac:dyDescent="0.25">
      <c r="A127" s="23">
        <v>124</v>
      </c>
      <c r="B127" s="24" t="s">
        <v>84</v>
      </c>
      <c r="C127" s="23" t="s">
        <v>109</v>
      </c>
      <c r="D127" s="23" t="s">
        <v>158</v>
      </c>
      <c r="E127" s="23" t="s">
        <v>182</v>
      </c>
      <c r="F127" s="25">
        <v>45433</v>
      </c>
      <c r="G127" s="25">
        <v>45445</v>
      </c>
      <c r="H127" s="23">
        <v>12</v>
      </c>
      <c r="I127" s="23" t="s">
        <v>76</v>
      </c>
      <c r="J127" s="26">
        <v>0.25</v>
      </c>
      <c r="K127" s="23" t="s">
        <v>94</v>
      </c>
      <c r="L127" s="27">
        <v>5000</v>
      </c>
      <c r="M127" s="23">
        <v>0</v>
      </c>
      <c r="N127" s="27">
        <v>59442</v>
      </c>
      <c r="O127" s="23" t="s">
        <v>130</v>
      </c>
      <c r="P127" s="23" t="s">
        <v>130</v>
      </c>
    </row>
    <row r="128" spans="1:16" ht="15" customHeight="1" x14ac:dyDescent="0.25">
      <c r="A128" s="28">
        <v>125</v>
      </c>
      <c r="B128" s="29" t="s">
        <v>88</v>
      </c>
      <c r="C128" s="28" t="s">
        <v>74</v>
      </c>
      <c r="D128" s="28" t="s">
        <v>158</v>
      </c>
      <c r="E128" s="28" t="s">
        <v>159</v>
      </c>
      <c r="F128" s="30">
        <v>45424</v>
      </c>
      <c r="G128" s="30">
        <v>45445</v>
      </c>
      <c r="H128" s="28">
        <v>21</v>
      </c>
      <c r="I128" s="28" t="s">
        <v>18</v>
      </c>
      <c r="J128" s="31">
        <v>0.5</v>
      </c>
      <c r="K128" s="28" t="s">
        <v>126</v>
      </c>
      <c r="L128" s="32">
        <v>2000</v>
      </c>
      <c r="M128" s="28">
        <v>100</v>
      </c>
      <c r="N128" s="32">
        <v>754802</v>
      </c>
      <c r="O128" s="28" t="s">
        <v>216</v>
      </c>
      <c r="P128" s="28" t="s">
        <v>523</v>
      </c>
    </row>
    <row r="129" spans="1:16" ht="15" customHeight="1" x14ac:dyDescent="0.25">
      <c r="A129" s="23">
        <v>126</v>
      </c>
      <c r="B129" s="24" t="s">
        <v>91</v>
      </c>
      <c r="C129" s="23" t="s">
        <v>87</v>
      </c>
      <c r="D129" s="23" t="s">
        <v>158</v>
      </c>
      <c r="E129" s="23" t="s">
        <v>123</v>
      </c>
      <c r="F129" s="25">
        <v>45345</v>
      </c>
      <c r="G129" s="25">
        <v>45359</v>
      </c>
      <c r="H129" s="23">
        <v>14</v>
      </c>
      <c r="I129" s="23" t="s">
        <v>76</v>
      </c>
      <c r="J129" s="26">
        <v>0.25</v>
      </c>
      <c r="K129" s="23" t="s">
        <v>75</v>
      </c>
      <c r="L129" s="27">
        <v>3000</v>
      </c>
      <c r="M129" s="23">
        <v>168</v>
      </c>
      <c r="N129" s="27">
        <v>832007</v>
      </c>
      <c r="O129" s="23" t="s">
        <v>172</v>
      </c>
      <c r="P129" s="23" t="s">
        <v>521</v>
      </c>
    </row>
    <row r="130" spans="1:16" ht="15" customHeight="1" x14ac:dyDescent="0.25">
      <c r="A130" s="28">
        <v>127</v>
      </c>
      <c r="B130" s="29" t="s">
        <v>95</v>
      </c>
      <c r="C130" s="28" t="s">
        <v>98</v>
      </c>
      <c r="D130" s="28" t="s">
        <v>245</v>
      </c>
      <c r="E130" s="28" t="s">
        <v>232</v>
      </c>
      <c r="F130" s="30">
        <v>45319</v>
      </c>
      <c r="G130" s="30">
        <v>45331</v>
      </c>
      <c r="H130" s="28">
        <v>12</v>
      </c>
      <c r="I130" s="28" t="s">
        <v>18</v>
      </c>
      <c r="J130" s="31">
        <v>0.75</v>
      </c>
      <c r="K130" s="28" t="s">
        <v>94</v>
      </c>
      <c r="L130" s="32">
        <v>5000</v>
      </c>
      <c r="M130" s="28">
        <v>160</v>
      </c>
      <c r="N130" s="32">
        <v>558708</v>
      </c>
      <c r="O130" s="28" t="s">
        <v>130</v>
      </c>
      <c r="P130" s="28" t="s">
        <v>523</v>
      </c>
    </row>
    <row r="131" spans="1:16" ht="15" customHeight="1" x14ac:dyDescent="0.25">
      <c r="A131" s="28">
        <v>128</v>
      </c>
      <c r="B131" s="29" t="s">
        <v>99</v>
      </c>
      <c r="C131" s="28" t="s">
        <v>109</v>
      </c>
      <c r="D131" s="28" t="s">
        <v>6</v>
      </c>
      <c r="E131" s="28" t="s">
        <v>286</v>
      </c>
      <c r="F131" s="30">
        <v>45420</v>
      </c>
      <c r="G131" s="30">
        <v>45434</v>
      </c>
      <c r="H131" s="28">
        <v>14</v>
      </c>
      <c r="I131" s="28" t="s">
        <v>18</v>
      </c>
      <c r="J131" s="31">
        <v>0.5</v>
      </c>
      <c r="K131" s="28" t="s">
        <v>94</v>
      </c>
      <c r="L131" s="32">
        <v>4200</v>
      </c>
      <c r="M131" s="28">
        <v>168</v>
      </c>
      <c r="N131" s="32">
        <v>242071</v>
      </c>
      <c r="O131" s="28" t="s">
        <v>172</v>
      </c>
      <c r="P131" s="28" t="s">
        <v>130</v>
      </c>
    </row>
    <row r="132" spans="1:16" ht="15" customHeight="1" x14ac:dyDescent="0.25">
      <c r="A132" s="28">
        <v>129</v>
      </c>
      <c r="B132" s="29" t="s">
        <v>103</v>
      </c>
      <c r="C132" s="28" t="s">
        <v>74</v>
      </c>
      <c r="D132" s="28" t="s">
        <v>173</v>
      </c>
      <c r="E132" s="28" t="s">
        <v>182</v>
      </c>
      <c r="F132" s="30">
        <v>45300</v>
      </c>
      <c r="G132" s="30">
        <v>45312</v>
      </c>
      <c r="H132" s="28">
        <v>12</v>
      </c>
      <c r="I132" s="28" t="s">
        <v>18</v>
      </c>
      <c r="J132" s="31">
        <v>0.65</v>
      </c>
      <c r="K132" s="28" t="s">
        <v>94</v>
      </c>
      <c r="L132" s="32">
        <v>4000</v>
      </c>
      <c r="M132" s="28">
        <v>100</v>
      </c>
      <c r="N132" s="32">
        <v>44899</v>
      </c>
      <c r="O132" s="28" t="s">
        <v>130</v>
      </c>
      <c r="P132" s="28" t="s">
        <v>521</v>
      </c>
    </row>
    <row r="133" spans="1:16" ht="15" customHeight="1" x14ac:dyDescent="0.25">
      <c r="A133" s="28">
        <v>130</v>
      </c>
      <c r="B133" s="29" t="s">
        <v>106</v>
      </c>
      <c r="C133" s="28" t="s">
        <v>87</v>
      </c>
      <c r="D133" s="28" t="s">
        <v>298</v>
      </c>
      <c r="E133" s="28" t="s">
        <v>159</v>
      </c>
      <c r="F133" s="30">
        <v>45374</v>
      </c>
      <c r="G133" s="30">
        <v>45388</v>
      </c>
      <c r="H133" s="28">
        <v>14</v>
      </c>
      <c r="I133" s="28" t="s">
        <v>18</v>
      </c>
      <c r="J133" s="31">
        <v>0</v>
      </c>
      <c r="K133" s="28" t="s">
        <v>83</v>
      </c>
      <c r="L133" s="32">
        <v>2000</v>
      </c>
      <c r="M133" s="28">
        <v>0</v>
      </c>
      <c r="N133" s="32">
        <v>219184</v>
      </c>
      <c r="O133" s="28" t="s">
        <v>130</v>
      </c>
      <c r="P133" s="28" t="s">
        <v>522</v>
      </c>
    </row>
    <row r="134" spans="1:16" ht="15" customHeight="1" x14ac:dyDescent="0.25">
      <c r="A134" s="33">
        <v>131</v>
      </c>
      <c r="B134" s="34" t="s">
        <v>71</v>
      </c>
      <c r="C134" s="33" t="s">
        <v>98</v>
      </c>
      <c r="D134" s="33" t="s">
        <v>181</v>
      </c>
      <c r="E134" s="33" t="s">
        <v>123</v>
      </c>
      <c r="F134" s="35">
        <v>45388</v>
      </c>
      <c r="G134" s="35">
        <v>45400</v>
      </c>
      <c r="H134" s="33">
        <v>12</v>
      </c>
      <c r="I134" s="33" t="s">
        <v>102</v>
      </c>
      <c r="J134" s="36">
        <v>0</v>
      </c>
      <c r="K134" s="33" t="s">
        <v>83</v>
      </c>
      <c r="L134" s="37">
        <v>5500</v>
      </c>
      <c r="M134" s="33">
        <v>0</v>
      </c>
      <c r="N134" s="37">
        <v>281886</v>
      </c>
      <c r="O134" s="33" t="s">
        <v>210</v>
      </c>
      <c r="P134" s="33" t="s">
        <v>522</v>
      </c>
    </row>
    <row r="135" spans="1:16" ht="15" customHeight="1" x14ac:dyDescent="0.25">
      <c r="A135" s="33">
        <v>132</v>
      </c>
      <c r="B135" s="34" t="s">
        <v>77</v>
      </c>
      <c r="C135" s="33" t="s">
        <v>109</v>
      </c>
      <c r="D135" s="33" t="s">
        <v>190</v>
      </c>
      <c r="E135" s="33" t="s">
        <v>232</v>
      </c>
      <c r="F135" s="35">
        <v>45351</v>
      </c>
      <c r="G135" s="35">
        <v>45365</v>
      </c>
      <c r="H135" s="33">
        <v>14</v>
      </c>
      <c r="I135" s="33" t="s">
        <v>102</v>
      </c>
      <c r="J135" s="36">
        <v>0</v>
      </c>
      <c r="K135" s="33" t="s">
        <v>94</v>
      </c>
      <c r="L135" s="37">
        <v>4200</v>
      </c>
      <c r="M135" s="33">
        <v>140</v>
      </c>
      <c r="N135" s="37">
        <v>647486</v>
      </c>
      <c r="O135" s="33" t="s">
        <v>210</v>
      </c>
      <c r="P135" s="33" t="s">
        <v>130</v>
      </c>
    </row>
    <row r="136" spans="1:16" ht="15" customHeight="1" x14ac:dyDescent="0.25">
      <c r="A136" s="28">
        <v>133</v>
      </c>
      <c r="B136" s="29" t="s">
        <v>80</v>
      </c>
      <c r="C136" s="28" t="s">
        <v>74</v>
      </c>
      <c r="D136" s="28" t="s">
        <v>204</v>
      </c>
      <c r="E136" s="28" t="s">
        <v>286</v>
      </c>
      <c r="F136" s="30">
        <v>45381</v>
      </c>
      <c r="G136" s="30">
        <v>45395</v>
      </c>
      <c r="H136" s="28">
        <v>14</v>
      </c>
      <c r="I136" s="28" t="s">
        <v>18</v>
      </c>
      <c r="J136" s="31">
        <v>0.65</v>
      </c>
      <c r="K136" s="28" t="s">
        <v>83</v>
      </c>
      <c r="L136" s="32">
        <v>5500</v>
      </c>
      <c r="M136" s="28">
        <v>100</v>
      </c>
      <c r="N136" s="32">
        <v>612608</v>
      </c>
      <c r="O136" s="28" t="s">
        <v>235</v>
      </c>
      <c r="P136" s="28" t="s">
        <v>525</v>
      </c>
    </row>
    <row r="137" spans="1:16" ht="15" customHeight="1" x14ac:dyDescent="0.25">
      <c r="A137" s="33">
        <v>134</v>
      </c>
      <c r="B137" s="34" t="s">
        <v>84</v>
      </c>
      <c r="C137" s="33" t="s">
        <v>87</v>
      </c>
      <c r="D137" s="33" t="s">
        <v>211</v>
      </c>
      <c r="E137" s="33" t="s">
        <v>182</v>
      </c>
      <c r="F137" s="35">
        <v>45389</v>
      </c>
      <c r="G137" s="35">
        <v>45417</v>
      </c>
      <c r="H137" s="33">
        <v>28</v>
      </c>
      <c r="I137" s="33" t="s">
        <v>102</v>
      </c>
      <c r="J137" s="36">
        <v>0.75</v>
      </c>
      <c r="K137" s="33" t="s">
        <v>94</v>
      </c>
      <c r="L137" s="37">
        <v>2000</v>
      </c>
      <c r="M137" s="33">
        <v>140</v>
      </c>
      <c r="N137" s="37">
        <v>487550</v>
      </c>
      <c r="O137" s="33" t="s">
        <v>235</v>
      </c>
      <c r="P137" s="33" t="s">
        <v>526</v>
      </c>
    </row>
    <row r="138" spans="1:16" ht="15" customHeight="1" x14ac:dyDescent="0.25">
      <c r="A138" s="23">
        <v>135</v>
      </c>
      <c r="B138" s="24" t="s">
        <v>88</v>
      </c>
      <c r="C138" s="23" t="s">
        <v>98</v>
      </c>
      <c r="D138" s="23" t="s">
        <v>227</v>
      </c>
      <c r="E138" s="23" t="s">
        <v>159</v>
      </c>
      <c r="F138" s="25">
        <v>45319</v>
      </c>
      <c r="G138" s="25">
        <v>45331</v>
      </c>
      <c r="H138" s="23">
        <v>12</v>
      </c>
      <c r="I138" s="23" t="s">
        <v>76</v>
      </c>
      <c r="J138" s="26">
        <v>0</v>
      </c>
      <c r="K138" s="23" t="s">
        <v>75</v>
      </c>
      <c r="L138" s="27">
        <v>3000</v>
      </c>
      <c r="M138" s="23">
        <v>120</v>
      </c>
      <c r="N138" s="27">
        <v>499193</v>
      </c>
      <c r="O138" s="23" t="s">
        <v>130</v>
      </c>
      <c r="P138" s="23" t="s">
        <v>523</v>
      </c>
    </row>
    <row r="139" spans="1:16" ht="15" customHeight="1" x14ac:dyDescent="0.25">
      <c r="A139" s="33">
        <v>136</v>
      </c>
      <c r="B139" s="34" t="s">
        <v>91</v>
      </c>
      <c r="C139" s="33" t="s">
        <v>109</v>
      </c>
      <c r="D139" s="33" t="s">
        <v>211</v>
      </c>
      <c r="E139" s="33" t="s">
        <v>123</v>
      </c>
      <c r="F139" s="35">
        <v>45426</v>
      </c>
      <c r="G139" s="35">
        <v>45454</v>
      </c>
      <c r="H139" s="33">
        <v>28</v>
      </c>
      <c r="I139" s="33" t="s">
        <v>102</v>
      </c>
      <c r="J139" s="36">
        <v>0</v>
      </c>
      <c r="K139" s="33" t="s">
        <v>75</v>
      </c>
      <c r="L139" s="37">
        <v>2000</v>
      </c>
      <c r="M139" s="33">
        <v>80</v>
      </c>
      <c r="N139" s="37">
        <v>299234</v>
      </c>
      <c r="O139" s="33" t="s">
        <v>226</v>
      </c>
      <c r="P139" s="33" t="s">
        <v>525</v>
      </c>
    </row>
    <row r="140" spans="1:16" ht="15" customHeight="1" x14ac:dyDescent="0.25">
      <c r="A140" s="33">
        <v>137</v>
      </c>
      <c r="B140" s="34" t="s">
        <v>95</v>
      </c>
      <c r="C140" s="33" t="s">
        <v>74</v>
      </c>
      <c r="D140" s="33" t="s">
        <v>140</v>
      </c>
      <c r="E140" s="33" t="s">
        <v>232</v>
      </c>
      <c r="F140" s="35">
        <v>45410</v>
      </c>
      <c r="G140" s="35">
        <v>45417</v>
      </c>
      <c r="H140" s="33">
        <v>7</v>
      </c>
      <c r="I140" s="33" t="s">
        <v>102</v>
      </c>
      <c r="J140" s="36">
        <v>0.75</v>
      </c>
      <c r="K140" s="33" t="s">
        <v>83</v>
      </c>
      <c r="L140" s="37">
        <v>4200</v>
      </c>
      <c r="M140" s="33">
        <v>140</v>
      </c>
      <c r="N140" s="37">
        <v>866835</v>
      </c>
      <c r="O140" s="33" t="s">
        <v>210</v>
      </c>
      <c r="P140" s="33" t="s">
        <v>525</v>
      </c>
    </row>
    <row r="141" spans="1:16" ht="15" customHeight="1" x14ac:dyDescent="0.25">
      <c r="A141" s="28">
        <v>138</v>
      </c>
      <c r="B141" s="29" t="s">
        <v>99</v>
      </c>
      <c r="C141" s="28" t="s">
        <v>87</v>
      </c>
      <c r="D141" s="28" t="s">
        <v>140</v>
      </c>
      <c r="E141" s="28" t="s">
        <v>286</v>
      </c>
      <c r="F141" s="30">
        <v>45371</v>
      </c>
      <c r="G141" s="30">
        <v>45383</v>
      </c>
      <c r="H141" s="28">
        <v>12</v>
      </c>
      <c r="I141" s="28" t="s">
        <v>18</v>
      </c>
      <c r="J141" s="31">
        <v>0.25</v>
      </c>
      <c r="K141" s="28" t="s">
        <v>83</v>
      </c>
      <c r="L141" s="32">
        <v>5000</v>
      </c>
      <c r="M141" s="28">
        <v>168</v>
      </c>
      <c r="N141" s="32">
        <v>268864</v>
      </c>
      <c r="O141" s="28" t="s">
        <v>226</v>
      </c>
      <c r="P141" s="28" t="s">
        <v>522</v>
      </c>
    </row>
    <row r="142" spans="1:16" ht="15" customHeight="1" x14ac:dyDescent="0.25">
      <c r="A142" s="33">
        <v>139</v>
      </c>
      <c r="B142" s="34" t="s">
        <v>103</v>
      </c>
      <c r="C142" s="33" t="s">
        <v>98</v>
      </c>
      <c r="D142" s="33" t="s">
        <v>158</v>
      </c>
      <c r="E142" s="33" t="s">
        <v>182</v>
      </c>
      <c r="F142" s="35">
        <v>45406</v>
      </c>
      <c r="G142" s="35">
        <v>45413</v>
      </c>
      <c r="H142" s="33">
        <v>7</v>
      </c>
      <c r="I142" s="33" t="s">
        <v>102</v>
      </c>
      <c r="J142" s="36">
        <v>1</v>
      </c>
      <c r="K142" s="33" t="s">
        <v>75</v>
      </c>
      <c r="L142" s="37">
        <v>2000</v>
      </c>
      <c r="M142" s="33">
        <v>120</v>
      </c>
      <c r="N142" s="37">
        <v>241734</v>
      </c>
      <c r="O142" s="33" t="s">
        <v>130</v>
      </c>
      <c r="P142" s="33" t="s">
        <v>130</v>
      </c>
    </row>
    <row r="143" spans="1:16" ht="15" customHeight="1" x14ac:dyDescent="0.25">
      <c r="A143" s="28">
        <v>140</v>
      </c>
      <c r="B143" s="29" t="s">
        <v>106</v>
      </c>
      <c r="C143" s="28" t="s">
        <v>109</v>
      </c>
      <c r="D143" s="28" t="s">
        <v>236</v>
      </c>
      <c r="E143" s="28" t="s">
        <v>159</v>
      </c>
      <c r="F143" s="30">
        <v>45410</v>
      </c>
      <c r="G143" s="30">
        <v>45422</v>
      </c>
      <c r="H143" s="28">
        <v>12</v>
      </c>
      <c r="I143" s="28" t="s">
        <v>18</v>
      </c>
      <c r="J143" s="31">
        <v>0</v>
      </c>
      <c r="K143" s="28" t="s">
        <v>75</v>
      </c>
      <c r="L143" s="32">
        <v>5500</v>
      </c>
      <c r="M143" s="28">
        <v>160</v>
      </c>
      <c r="N143" s="32">
        <v>625386</v>
      </c>
      <c r="O143" s="28" t="s">
        <v>216</v>
      </c>
      <c r="P143" s="28" t="s">
        <v>521</v>
      </c>
    </row>
    <row r="144" spans="1:16" ht="15" customHeight="1" x14ac:dyDescent="0.25">
      <c r="A144" s="28">
        <v>141</v>
      </c>
      <c r="B144" s="29" t="s">
        <v>71</v>
      </c>
      <c r="C144" s="28" t="s">
        <v>74</v>
      </c>
      <c r="D144" s="28" t="s">
        <v>337</v>
      </c>
      <c r="E144" s="28" t="s">
        <v>123</v>
      </c>
      <c r="F144" s="30">
        <v>45347</v>
      </c>
      <c r="G144" s="30">
        <v>45354</v>
      </c>
      <c r="H144" s="28">
        <v>7</v>
      </c>
      <c r="I144" s="28" t="s">
        <v>18</v>
      </c>
      <c r="J144" s="31">
        <v>0.75</v>
      </c>
      <c r="K144" s="28" t="s">
        <v>75</v>
      </c>
      <c r="L144" s="32">
        <v>3500</v>
      </c>
      <c r="M144" s="28">
        <v>60</v>
      </c>
      <c r="N144" s="32">
        <v>576816</v>
      </c>
      <c r="O144" s="28" t="s">
        <v>210</v>
      </c>
      <c r="P144" s="28" t="s">
        <v>526</v>
      </c>
    </row>
    <row r="145" spans="1:16" ht="15" customHeight="1" x14ac:dyDescent="0.25">
      <c r="A145" s="28">
        <v>142</v>
      </c>
      <c r="B145" s="29" t="s">
        <v>77</v>
      </c>
      <c r="C145" s="28" t="s">
        <v>87</v>
      </c>
      <c r="D145" s="28" t="s">
        <v>245</v>
      </c>
      <c r="E145" s="28" t="s">
        <v>232</v>
      </c>
      <c r="F145" s="30">
        <v>45410</v>
      </c>
      <c r="G145" s="30">
        <v>45422</v>
      </c>
      <c r="H145" s="28">
        <v>12</v>
      </c>
      <c r="I145" s="28" t="s">
        <v>18</v>
      </c>
      <c r="J145" s="31">
        <v>1</v>
      </c>
      <c r="K145" s="28" t="s">
        <v>94</v>
      </c>
      <c r="L145" s="32">
        <v>3000</v>
      </c>
      <c r="M145" s="28">
        <v>0</v>
      </c>
      <c r="N145" s="32">
        <v>813795</v>
      </c>
      <c r="O145" s="28" t="s">
        <v>210</v>
      </c>
      <c r="P145" s="28" t="s">
        <v>526</v>
      </c>
    </row>
    <row r="146" spans="1:16" ht="15" customHeight="1" x14ac:dyDescent="0.25">
      <c r="A146" s="23">
        <v>143</v>
      </c>
      <c r="B146" s="24" t="s">
        <v>80</v>
      </c>
      <c r="C146" s="23" t="s">
        <v>98</v>
      </c>
      <c r="D146" s="23" t="s">
        <v>6</v>
      </c>
      <c r="E146" s="23" t="s">
        <v>286</v>
      </c>
      <c r="F146" s="25">
        <v>45322</v>
      </c>
      <c r="G146" s="25">
        <v>45334</v>
      </c>
      <c r="H146" s="23">
        <v>12</v>
      </c>
      <c r="I146" s="23" t="s">
        <v>76</v>
      </c>
      <c r="J146" s="26">
        <v>1</v>
      </c>
      <c r="K146" s="23" t="s">
        <v>126</v>
      </c>
      <c r="L146" s="27">
        <v>3500</v>
      </c>
      <c r="M146" s="23">
        <v>160</v>
      </c>
      <c r="N146" s="27">
        <v>340685</v>
      </c>
      <c r="O146" s="23" t="s">
        <v>130</v>
      </c>
      <c r="P146" s="23" t="s">
        <v>524</v>
      </c>
    </row>
    <row r="147" spans="1:16" ht="15" customHeight="1" x14ac:dyDescent="0.25">
      <c r="A147" s="28">
        <v>144</v>
      </c>
      <c r="B147" s="29" t="s">
        <v>84</v>
      </c>
      <c r="C147" s="28" t="s">
        <v>109</v>
      </c>
      <c r="D147" s="28" t="s">
        <v>173</v>
      </c>
      <c r="E147" s="28" t="s">
        <v>182</v>
      </c>
      <c r="F147" s="30">
        <v>45391</v>
      </c>
      <c r="G147" s="30">
        <v>45398</v>
      </c>
      <c r="H147" s="28">
        <v>7</v>
      </c>
      <c r="I147" s="28" t="s">
        <v>18</v>
      </c>
      <c r="J147" s="31">
        <v>0.25</v>
      </c>
      <c r="K147" s="28" t="s">
        <v>94</v>
      </c>
      <c r="L147" s="32">
        <v>2000</v>
      </c>
      <c r="M147" s="28">
        <v>160</v>
      </c>
      <c r="N147" s="32">
        <v>362796</v>
      </c>
      <c r="O147" s="28" t="s">
        <v>172</v>
      </c>
      <c r="P147" s="28" t="s">
        <v>522</v>
      </c>
    </row>
    <row r="148" spans="1:16" ht="15" customHeight="1" x14ac:dyDescent="0.25">
      <c r="A148" s="28">
        <v>145</v>
      </c>
      <c r="B148" s="29" t="s">
        <v>88</v>
      </c>
      <c r="C148" s="28" t="s">
        <v>74</v>
      </c>
      <c r="D148" s="28" t="s">
        <v>173</v>
      </c>
      <c r="E148" s="28" t="s">
        <v>159</v>
      </c>
      <c r="F148" s="30">
        <v>45322</v>
      </c>
      <c r="G148" s="30">
        <v>45350</v>
      </c>
      <c r="H148" s="28">
        <v>28</v>
      </c>
      <c r="I148" s="28" t="s">
        <v>18</v>
      </c>
      <c r="J148" s="31">
        <v>0</v>
      </c>
      <c r="K148" s="28" t="s">
        <v>75</v>
      </c>
      <c r="L148" s="32">
        <v>3500</v>
      </c>
      <c r="M148" s="28">
        <v>60</v>
      </c>
      <c r="N148" s="32">
        <v>153755</v>
      </c>
      <c r="O148" s="28" t="s">
        <v>130</v>
      </c>
      <c r="P148" s="28" t="s">
        <v>525</v>
      </c>
    </row>
    <row r="149" spans="1:16" ht="15" customHeight="1" x14ac:dyDescent="0.25">
      <c r="A149" s="33">
        <v>146</v>
      </c>
      <c r="B149" s="34" t="s">
        <v>91</v>
      </c>
      <c r="C149" s="33" t="s">
        <v>87</v>
      </c>
      <c r="D149" s="33" t="s">
        <v>413</v>
      </c>
      <c r="E149" s="33" t="s">
        <v>123</v>
      </c>
      <c r="F149" s="35">
        <v>45418</v>
      </c>
      <c r="G149" s="35">
        <v>45430</v>
      </c>
      <c r="H149" s="33">
        <v>12</v>
      </c>
      <c r="I149" s="33" t="s">
        <v>102</v>
      </c>
      <c r="J149" s="36">
        <v>0.5</v>
      </c>
      <c r="K149" s="33" t="s">
        <v>75</v>
      </c>
      <c r="L149" s="37">
        <v>5500</v>
      </c>
      <c r="M149" s="33">
        <v>80</v>
      </c>
      <c r="N149" s="37">
        <v>570184</v>
      </c>
      <c r="O149" s="33" t="s">
        <v>130</v>
      </c>
      <c r="P149" s="33" t="s">
        <v>130</v>
      </c>
    </row>
    <row r="150" spans="1:16" ht="15" customHeight="1" x14ac:dyDescent="0.25">
      <c r="A150" s="23">
        <v>147</v>
      </c>
      <c r="B150" s="24" t="s">
        <v>95</v>
      </c>
      <c r="C150" s="23" t="s">
        <v>98</v>
      </c>
      <c r="D150" s="23" t="s">
        <v>181</v>
      </c>
      <c r="E150" s="23" t="s">
        <v>232</v>
      </c>
      <c r="F150" s="25">
        <v>45417</v>
      </c>
      <c r="G150" s="25">
        <v>45445</v>
      </c>
      <c r="H150" s="23">
        <v>28</v>
      </c>
      <c r="I150" s="23" t="s">
        <v>76</v>
      </c>
      <c r="J150" s="26">
        <v>0.5</v>
      </c>
      <c r="K150" s="23" t="s">
        <v>75</v>
      </c>
      <c r="L150" s="27">
        <v>5000</v>
      </c>
      <c r="M150" s="23">
        <v>140</v>
      </c>
      <c r="N150" s="27">
        <v>46584</v>
      </c>
      <c r="O150" s="23" t="s">
        <v>235</v>
      </c>
      <c r="P150" s="23" t="s">
        <v>524</v>
      </c>
    </row>
    <row r="151" spans="1:16" ht="15" customHeight="1" x14ac:dyDescent="0.25">
      <c r="A151" s="33">
        <v>148</v>
      </c>
      <c r="B151" s="34" t="s">
        <v>99</v>
      </c>
      <c r="C151" s="33" t="s">
        <v>109</v>
      </c>
      <c r="D151" s="33" t="s">
        <v>413</v>
      </c>
      <c r="E151" s="33" t="s">
        <v>286</v>
      </c>
      <c r="F151" s="35">
        <v>45333</v>
      </c>
      <c r="G151" s="35">
        <v>45343</v>
      </c>
      <c r="H151" s="33">
        <v>10</v>
      </c>
      <c r="I151" s="33" t="s">
        <v>102</v>
      </c>
      <c r="J151" s="36">
        <v>0.65</v>
      </c>
      <c r="K151" s="33" t="s">
        <v>75</v>
      </c>
      <c r="L151" s="37">
        <v>3000</v>
      </c>
      <c r="M151" s="33">
        <v>168</v>
      </c>
      <c r="N151" s="37">
        <v>640222</v>
      </c>
      <c r="O151" s="33" t="s">
        <v>210</v>
      </c>
      <c r="P151" s="33" t="s">
        <v>525</v>
      </c>
    </row>
    <row r="152" spans="1:16" ht="15" customHeight="1" x14ac:dyDescent="0.25">
      <c r="A152" s="28">
        <v>149</v>
      </c>
      <c r="B152" s="29" t="s">
        <v>103</v>
      </c>
      <c r="C152" s="28" t="s">
        <v>74</v>
      </c>
      <c r="D152" s="28" t="s">
        <v>190</v>
      </c>
      <c r="E152" s="28" t="s">
        <v>182</v>
      </c>
      <c r="F152" s="30">
        <v>45343</v>
      </c>
      <c r="G152" s="30">
        <v>45355</v>
      </c>
      <c r="H152" s="28">
        <v>12</v>
      </c>
      <c r="I152" s="28" t="s">
        <v>18</v>
      </c>
      <c r="J152" s="31">
        <v>0.75</v>
      </c>
      <c r="K152" s="28" t="s">
        <v>83</v>
      </c>
      <c r="L152" s="32">
        <v>5000</v>
      </c>
      <c r="M152" s="28">
        <v>120</v>
      </c>
      <c r="N152" s="32">
        <v>198826</v>
      </c>
      <c r="O152" s="28" t="s">
        <v>226</v>
      </c>
      <c r="P152" s="28" t="s">
        <v>522</v>
      </c>
    </row>
    <row r="153" spans="1:16" ht="15" customHeight="1" x14ac:dyDescent="0.25">
      <c r="A153" s="33">
        <v>150</v>
      </c>
      <c r="B153" s="34" t="s">
        <v>106</v>
      </c>
      <c r="C153" s="33" t="s">
        <v>87</v>
      </c>
      <c r="D153" s="33" t="s">
        <v>204</v>
      </c>
      <c r="E153" s="33" t="s">
        <v>159</v>
      </c>
      <c r="F153" s="35">
        <v>45417</v>
      </c>
      <c r="G153" s="35">
        <v>45424</v>
      </c>
      <c r="H153" s="33">
        <v>7</v>
      </c>
      <c r="I153" s="33" t="s">
        <v>102</v>
      </c>
      <c r="J153" s="36">
        <v>0.4</v>
      </c>
      <c r="K153" s="33" t="s">
        <v>94</v>
      </c>
      <c r="L153" s="37">
        <v>3000</v>
      </c>
      <c r="M153" s="33">
        <v>0</v>
      </c>
      <c r="N153" s="37">
        <v>340075</v>
      </c>
      <c r="O153" s="33" t="s">
        <v>130</v>
      </c>
      <c r="P153" s="33" t="s">
        <v>525</v>
      </c>
    </row>
  </sheetData>
  <autoFilter ref="A3:P3" xr:uid="{00000000-0009-0000-0000-000002000000}"/>
  <mergeCells count="1">
    <mergeCell ref="A1:P1"/>
  </mergeCells>
  <hyperlinks>
    <hyperlink ref="P2" location="'Project Overview'!A1" display="← Back to Project Overview" xr:uid="{00000000-0004-0000-02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21"/>
  <sheetViews>
    <sheetView zoomScale="70" zoomScaleNormal="70" workbookViewId="0">
      <pane xSplit="10" ySplit="4" topLeftCell="AJ7" activePane="bottomRight" state="frozen"/>
      <selection pane="topRight" activeCell="K1" sqref="K1"/>
      <selection pane="bottomLeft" activeCell="A5" sqref="A5"/>
      <selection pane="bottomRight" activeCell="B21" sqref="B21"/>
    </sheetView>
  </sheetViews>
  <sheetFormatPr defaultColWidth="8.7109375" defaultRowHeight="15" x14ac:dyDescent="0.25"/>
  <cols>
    <col min="1" max="1" width="45" customWidth="1"/>
    <col min="2" max="2" width="44" customWidth="1"/>
    <col min="3" max="3" width="22" customWidth="1"/>
    <col min="4" max="4" width="23" customWidth="1"/>
    <col min="5" max="6" width="22" customWidth="1"/>
    <col min="7" max="8" width="16" customWidth="1"/>
    <col min="9" max="9" width="9" customWidth="1"/>
    <col min="10" max="10" width="11" customWidth="1"/>
    <col min="11" max="11" width="15" customWidth="1"/>
    <col min="12" max="14" width="5" customWidth="1"/>
    <col min="15" max="15" width="16" customWidth="1"/>
    <col min="16" max="18" width="5" customWidth="1"/>
    <col min="19" max="19" width="13" customWidth="1"/>
    <col min="20" max="22" width="5" customWidth="1"/>
    <col min="23" max="23" width="13" customWidth="1"/>
    <col min="24" max="26" width="5" customWidth="1"/>
    <col min="27" max="27" width="11" customWidth="1"/>
    <col min="28" max="30" width="5" customWidth="1"/>
    <col min="31" max="31" width="12" customWidth="1"/>
    <col min="32" max="34" width="5" customWidth="1"/>
    <col min="35" max="35" width="3" customWidth="1"/>
  </cols>
  <sheetData>
    <row r="1" spans="1:35" ht="31.5" customHeight="1" x14ac:dyDescent="0.25">
      <c r="A1" s="195" t="s">
        <v>527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38"/>
      <c r="AG1" s="38"/>
      <c r="AH1" s="38"/>
      <c r="AI1" s="38"/>
    </row>
    <row r="2" spans="1:35" ht="18" customHeight="1" x14ac:dyDescent="0.25">
      <c r="A2" s="140" t="s">
        <v>528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</row>
    <row r="3" spans="1:35" ht="25.5" customHeight="1" x14ac:dyDescent="0.25">
      <c r="A3" s="40" t="s">
        <v>112</v>
      </c>
      <c r="B3" s="40" t="s">
        <v>113</v>
      </c>
      <c r="C3" s="40" t="s">
        <v>70</v>
      </c>
      <c r="D3" s="40" t="s">
        <v>529</v>
      </c>
      <c r="E3" s="40" t="s">
        <v>530</v>
      </c>
      <c r="F3" s="40" t="s">
        <v>531</v>
      </c>
      <c r="G3" s="40" t="s">
        <v>532</v>
      </c>
      <c r="H3" s="40" t="s">
        <v>17</v>
      </c>
      <c r="I3" s="40" t="s">
        <v>533</v>
      </c>
      <c r="J3" s="40" t="s">
        <v>13</v>
      </c>
      <c r="K3" s="191" t="s">
        <v>534</v>
      </c>
      <c r="L3" s="189"/>
      <c r="M3" s="189"/>
      <c r="N3" s="189"/>
      <c r="O3" s="191" t="s">
        <v>535</v>
      </c>
      <c r="P3" s="189"/>
      <c r="Q3" s="189"/>
      <c r="R3" s="189"/>
      <c r="S3" s="188" t="s">
        <v>536</v>
      </c>
      <c r="T3" s="189"/>
      <c r="U3" s="189"/>
      <c r="V3" s="189"/>
      <c r="W3" s="188" t="s">
        <v>537</v>
      </c>
      <c r="X3" s="189"/>
      <c r="Y3" s="189"/>
      <c r="Z3" s="189"/>
      <c r="AA3" s="190" t="s">
        <v>538</v>
      </c>
      <c r="AB3" s="189"/>
      <c r="AC3" s="189"/>
      <c r="AD3" s="189"/>
      <c r="AE3" s="190" t="s">
        <v>539</v>
      </c>
      <c r="AF3" s="189"/>
      <c r="AG3" s="189"/>
      <c r="AH3" s="189"/>
      <c r="AI3" s="189"/>
    </row>
    <row r="4" spans="1:35" ht="15" customHeight="1" x14ac:dyDescent="0.25">
      <c r="A4" s="196"/>
      <c r="B4" s="175"/>
      <c r="C4" s="175"/>
      <c r="D4" s="175"/>
      <c r="E4" s="175"/>
      <c r="F4" s="175"/>
      <c r="G4" s="175"/>
      <c r="H4" s="175"/>
      <c r="I4" s="175"/>
      <c r="J4" s="175"/>
      <c r="K4" s="41" t="s">
        <v>540</v>
      </c>
      <c r="L4" s="41" t="s">
        <v>541</v>
      </c>
      <c r="M4" s="41" t="s">
        <v>542</v>
      </c>
      <c r="N4" s="41" t="s">
        <v>543</v>
      </c>
      <c r="O4" s="41" t="s">
        <v>540</v>
      </c>
      <c r="P4" s="41" t="s">
        <v>541</v>
      </c>
      <c r="Q4" s="41" t="s">
        <v>542</v>
      </c>
      <c r="R4" s="41" t="s">
        <v>543</v>
      </c>
      <c r="S4" s="42" t="s">
        <v>540</v>
      </c>
      <c r="T4" s="42" t="s">
        <v>541</v>
      </c>
      <c r="U4" s="42" t="s">
        <v>542</v>
      </c>
      <c r="V4" s="42" t="s">
        <v>543</v>
      </c>
      <c r="W4" s="42" t="s">
        <v>540</v>
      </c>
      <c r="X4" s="42" t="s">
        <v>541</v>
      </c>
      <c r="Y4" s="42" t="s">
        <v>542</v>
      </c>
      <c r="Z4" s="42" t="s">
        <v>543</v>
      </c>
      <c r="AA4" s="43" t="s">
        <v>540</v>
      </c>
      <c r="AB4" s="43" t="s">
        <v>541</v>
      </c>
      <c r="AC4" s="43" t="s">
        <v>542</v>
      </c>
      <c r="AD4" s="43" t="s">
        <v>543</v>
      </c>
      <c r="AE4" s="43" t="s">
        <v>540</v>
      </c>
      <c r="AF4" s="43" t="s">
        <v>541</v>
      </c>
      <c r="AG4" s="43" t="s">
        <v>542</v>
      </c>
      <c r="AH4" s="43" t="s">
        <v>543</v>
      </c>
    </row>
    <row r="5" spans="1:35" ht="15" customHeight="1" x14ac:dyDescent="0.25">
      <c r="A5" s="175"/>
      <c r="B5" s="175"/>
      <c r="C5" s="175"/>
      <c r="D5" s="175"/>
      <c r="E5" s="175"/>
      <c r="F5" s="175"/>
      <c r="G5" s="175"/>
      <c r="H5" s="175"/>
      <c r="I5" s="175"/>
      <c r="J5" s="175"/>
    </row>
    <row r="6" spans="1:35" ht="21.75" customHeight="1" x14ac:dyDescent="0.25">
      <c r="A6" s="44" t="s">
        <v>544</v>
      </c>
      <c r="B6" s="45"/>
      <c r="C6" s="45"/>
      <c r="D6" s="45"/>
      <c r="E6" s="45"/>
      <c r="F6" s="45"/>
      <c r="G6" s="45"/>
      <c r="H6" s="45"/>
      <c r="I6" s="45"/>
      <c r="J6" s="45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</row>
    <row r="7" spans="1:35" ht="21.75" customHeight="1" x14ac:dyDescent="0.25">
      <c r="A7" s="47">
        <v>1</v>
      </c>
      <c r="B7" s="48" t="s">
        <v>71</v>
      </c>
      <c r="C7" s="47" t="s">
        <v>74</v>
      </c>
      <c r="D7" s="47" t="s">
        <v>211</v>
      </c>
      <c r="E7" s="141">
        <v>45292</v>
      </c>
      <c r="F7" s="141">
        <v>45306</v>
      </c>
      <c r="G7" s="47">
        <v>14</v>
      </c>
      <c r="H7" s="49" t="s">
        <v>76</v>
      </c>
      <c r="I7" s="50">
        <v>1</v>
      </c>
      <c r="J7" s="47" t="s">
        <v>75</v>
      </c>
      <c r="K7" s="51"/>
      <c r="L7" s="51"/>
      <c r="M7" s="51"/>
      <c r="N7" s="52"/>
      <c r="O7" s="53"/>
      <c r="P7" s="53"/>
      <c r="Q7" s="52"/>
      <c r="R7" s="52"/>
      <c r="S7" s="53"/>
      <c r="T7" s="53"/>
      <c r="U7" s="52"/>
      <c r="V7" s="52"/>
      <c r="W7" s="53"/>
      <c r="X7" s="53"/>
      <c r="Y7" s="52"/>
      <c r="Z7" s="52"/>
      <c r="AA7" s="53"/>
      <c r="AB7" s="53"/>
      <c r="AC7" s="52"/>
      <c r="AD7" s="52"/>
      <c r="AE7" s="53"/>
      <c r="AF7" s="53"/>
      <c r="AG7" s="52"/>
      <c r="AH7" s="52"/>
      <c r="AI7" s="54"/>
    </row>
    <row r="8" spans="1:35" ht="21.75" customHeight="1" x14ac:dyDescent="0.25">
      <c r="A8" s="47">
        <v>2</v>
      </c>
      <c r="B8" s="48" t="s">
        <v>77</v>
      </c>
      <c r="C8" s="47" t="s">
        <v>74</v>
      </c>
      <c r="D8" s="47" t="s">
        <v>227</v>
      </c>
      <c r="E8" s="141">
        <v>45299</v>
      </c>
      <c r="F8" s="141">
        <v>45309</v>
      </c>
      <c r="G8" s="47">
        <v>10</v>
      </c>
      <c r="H8" s="49" t="s">
        <v>76</v>
      </c>
      <c r="I8" s="50">
        <v>1</v>
      </c>
      <c r="J8" s="47" t="s">
        <v>75</v>
      </c>
      <c r="K8" s="53"/>
      <c r="L8" s="51"/>
      <c r="M8" s="51"/>
      <c r="N8" s="52"/>
      <c r="O8" s="53"/>
      <c r="P8" s="53"/>
      <c r="Q8" s="52"/>
      <c r="R8" s="52"/>
      <c r="S8" s="53"/>
      <c r="T8" s="53"/>
      <c r="U8" s="52"/>
      <c r="V8" s="52"/>
      <c r="W8" s="53"/>
      <c r="X8" s="53"/>
      <c r="Y8" s="52"/>
      <c r="Z8" s="52"/>
      <c r="AA8" s="53"/>
      <c r="AB8" s="53"/>
      <c r="AC8" s="52"/>
      <c r="AD8" s="52"/>
      <c r="AE8" s="53"/>
      <c r="AF8" s="53"/>
      <c r="AG8" s="52"/>
      <c r="AH8" s="52"/>
      <c r="AI8" s="55"/>
    </row>
    <row r="9" spans="1:35" ht="21.75" customHeight="1" x14ac:dyDescent="0.25">
      <c r="A9" s="194">
        <v>3</v>
      </c>
      <c r="B9" s="152"/>
      <c r="C9" s="152"/>
      <c r="D9" s="152"/>
      <c r="E9" s="152"/>
      <c r="F9" s="152"/>
      <c r="G9" s="152"/>
      <c r="H9" s="152"/>
      <c r="I9" s="152"/>
      <c r="J9" s="193"/>
      <c r="K9" s="53"/>
      <c r="L9" s="53"/>
      <c r="M9" s="51"/>
      <c r="N9" s="51"/>
      <c r="O9" s="53"/>
      <c r="P9" s="53"/>
      <c r="Q9" s="52"/>
      <c r="R9" s="52"/>
      <c r="S9" s="53"/>
      <c r="T9" s="53"/>
      <c r="U9" s="52"/>
      <c r="V9" s="52"/>
      <c r="W9" s="53"/>
      <c r="X9" s="53"/>
      <c r="Y9" s="52"/>
      <c r="Z9" s="52"/>
      <c r="AA9" s="53"/>
      <c r="AB9" s="53"/>
      <c r="AC9" s="52"/>
      <c r="AD9" s="52"/>
      <c r="AE9" s="53"/>
      <c r="AF9" s="53"/>
      <c r="AG9" s="52"/>
      <c r="AH9" s="52"/>
      <c r="AI9" s="54"/>
    </row>
    <row r="10" spans="1:35" ht="21.75" customHeight="1" x14ac:dyDescent="0.25">
      <c r="A10" s="56" t="s">
        <v>545</v>
      </c>
      <c r="B10" s="57"/>
      <c r="C10" s="57"/>
      <c r="D10" s="57"/>
      <c r="E10" s="57"/>
      <c r="F10" s="57"/>
      <c r="G10" s="57"/>
      <c r="H10" s="57"/>
      <c r="I10" s="57"/>
      <c r="J10" s="57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</row>
    <row r="11" spans="1:35" ht="21.75" customHeight="1" x14ac:dyDescent="0.25">
      <c r="A11" s="59">
        <v>4</v>
      </c>
      <c r="B11" s="60" t="s">
        <v>84</v>
      </c>
      <c r="C11" s="59" t="s">
        <v>87</v>
      </c>
      <c r="D11" s="59" t="s">
        <v>140</v>
      </c>
      <c r="E11" s="142">
        <v>45320</v>
      </c>
      <c r="F11" s="142">
        <v>45334</v>
      </c>
      <c r="G11" s="59">
        <v>14</v>
      </c>
      <c r="H11" s="49" t="s">
        <v>76</v>
      </c>
      <c r="I11" s="61">
        <v>1</v>
      </c>
      <c r="J11" s="59" t="s">
        <v>75</v>
      </c>
      <c r="K11" s="53"/>
      <c r="L11" s="53"/>
      <c r="M11" s="52"/>
      <c r="N11" s="52"/>
      <c r="O11" s="62"/>
      <c r="P11" s="62"/>
      <c r="Q11" s="62"/>
      <c r="R11" s="52"/>
      <c r="S11" s="53"/>
      <c r="T11" s="53"/>
      <c r="U11" s="52"/>
      <c r="V11" s="52"/>
      <c r="W11" s="53"/>
      <c r="X11" s="53"/>
      <c r="Y11" s="52"/>
      <c r="Z11" s="52"/>
      <c r="AA11" s="53"/>
      <c r="AB11" s="53"/>
      <c r="AC11" s="52"/>
      <c r="AD11" s="52"/>
      <c r="AE11" s="53"/>
      <c r="AF11" s="53"/>
      <c r="AG11" s="52"/>
      <c r="AH11" s="52"/>
      <c r="AI11" s="54"/>
    </row>
    <row r="12" spans="1:35" ht="21.75" customHeight="1" x14ac:dyDescent="0.25">
      <c r="A12" s="59">
        <v>5</v>
      </c>
      <c r="B12" s="60" t="s">
        <v>88</v>
      </c>
      <c r="C12" s="59" t="s">
        <v>87</v>
      </c>
      <c r="D12" s="59" t="s">
        <v>122</v>
      </c>
      <c r="E12" s="142">
        <v>45327</v>
      </c>
      <c r="F12" s="142">
        <v>45341</v>
      </c>
      <c r="G12" s="59">
        <v>14</v>
      </c>
      <c r="H12" s="49" t="s">
        <v>76</v>
      </c>
      <c r="I12" s="61">
        <v>1</v>
      </c>
      <c r="J12" s="59" t="s">
        <v>83</v>
      </c>
      <c r="K12" s="53"/>
      <c r="L12" s="53"/>
      <c r="M12" s="52"/>
      <c r="N12" s="52"/>
      <c r="O12" s="53"/>
      <c r="P12" s="62"/>
      <c r="Q12" s="62"/>
      <c r="R12" s="62"/>
      <c r="S12" s="53"/>
      <c r="T12" s="53"/>
      <c r="U12" s="52"/>
      <c r="V12" s="52"/>
      <c r="W12" s="53"/>
      <c r="X12" s="53"/>
      <c r="Y12" s="52"/>
      <c r="Z12" s="52"/>
      <c r="AA12" s="53"/>
      <c r="AB12" s="53"/>
      <c r="AC12" s="52"/>
      <c r="AD12" s="52"/>
      <c r="AE12" s="53"/>
      <c r="AF12" s="53"/>
      <c r="AG12" s="52"/>
      <c r="AH12" s="52"/>
      <c r="AI12" s="55"/>
    </row>
    <row r="13" spans="1:35" ht="21.75" customHeight="1" x14ac:dyDescent="0.25">
      <c r="A13" s="197">
        <v>6</v>
      </c>
      <c r="B13" s="152"/>
      <c r="C13" s="152"/>
      <c r="D13" s="152"/>
      <c r="E13" s="152"/>
      <c r="F13" s="152"/>
      <c r="G13" s="152"/>
      <c r="H13" s="152"/>
      <c r="I13" s="152"/>
      <c r="J13" s="193"/>
      <c r="K13" s="53"/>
      <c r="L13" s="53"/>
      <c r="M13" s="52"/>
      <c r="N13" s="52"/>
      <c r="O13" s="53"/>
      <c r="P13" s="53"/>
      <c r="Q13" s="63"/>
      <c r="R13" s="63"/>
      <c r="S13" s="53"/>
      <c r="T13" s="53"/>
      <c r="U13" s="52"/>
      <c r="V13" s="52"/>
      <c r="W13" s="53"/>
      <c r="X13" s="53"/>
      <c r="Y13" s="52"/>
      <c r="Z13" s="52"/>
      <c r="AA13" s="53"/>
      <c r="AB13" s="53"/>
      <c r="AC13" s="52"/>
      <c r="AD13" s="52"/>
      <c r="AE13" s="53"/>
      <c r="AF13" s="53"/>
      <c r="AG13" s="52"/>
      <c r="AH13" s="52"/>
      <c r="AI13" s="54"/>
    </row>
    <row r="14" spans="1:35" ht="21.75" customHeight="1" x14ac:dyDescent="0.25">
      <c r="A14" s="64" t="s">
        <v>546</v>
      </c>
      <c r="B14" s="65"/>
      <c r="C14" s="65"/>
      <c r="D14" s="65"/>
      <c r="E14" s="65"/>
      <c r="F14" s="65"/>
      <c r="G14" s="65"/>
      <c r="H14" s="65"/>
      <c r="I14" s="65"/>
      <c r="J14" s="65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</row>
    <row r="15" spans="1:35" ht="21.75" customHeight="1" x14ac:dyDescent="0.25">
      <c r="A15" s="67">
        <v>7</v>
      </c>
      <c r="B15" s="68" t="s">
        <v>95</v>
      </c>
      <c r="C15" s="67" t="s">
        <v>98</v>
      </c>
      <c r="D15" s="67" t="s">
        <v>140</v>
      </c>
      <c r="E15" s="143">
        <v>45355</v>
      </c>
      <c r="F15" s="143">
        <v>45369</v>
      </c>
      <c r="G15" s="67">
        <v>14</v>
      </c>
      <c r="H15" s="69" t="s">
        <v>18</v>
      </c>
      <c r="I15" s="70">
        <v>0.4</v>
      </c>
      <c r="J15" s="67" t="s">
        <v>75</v>
      </c>
      <c r="K15" s="53"/>
      <c r="L15" s="53"/>
      <c r="M15" s="52"/>
      <c r="N15" s="52"/>
      <c r="O15" s="53"/>
      <c r="P15" s="53"/>
      <c r="Q15" s="52"/>
      <c r="R15" s="52"/>
      <c r="S15" s="53"/>
      <c r="T15" s="71"/>
      <c r="U15" s="71"/>
      <c r="V15" s="71"/>
      <c r="W15" s="53"/>
      <c r="X15" s="53"/>
      <c r="Y15" s="52"/>
      <c r="Z15" s="52"/>
      <c r="AA15" s="53"/>
      <c r="AB15" s="53"/>
      <c r="AC15" s="52"/>
      <c r="AD15" s="52"/>
      <c r="AE15" s="53"/>
      <c r="AF15" s="53"/>
      <c r="AG15" s="52"/>
      <c r="AH15" s="52"/>
      <c r="AI15" s="54"/>
    </row>
    <row r="16" spans="1:35" ht="21.75" customHeight="1" x14ac:dyDescent="0.25">
      <c r="A16" s="67">
        <v>8</v>
      </c>
      <c r="B16" s="68" t="s">
        <v>99</v>
      </c>
      <c r="C16" s="67" t="s">
        <v>98</v>
      </c>
      <c r="D16" s="67" t="s">
        <v>298</v>
      </c>
      <c r="E16" s="143">
        <v>45362</v>
      </c>
      <c r="F16" s="143">
        <v>45376</v>
      </c>
      <c r="G16" s="67">
        <v>14</v>
      </c>
      <c r="H16" s="72" t="s">
        <v>102</v>
      </c>
      <c r="I16" s="70">
        <v>0</v>
      </c>
      <c r="J16" s="67" t="s">
        <v>83</v>
      </c>
      <c r="K16" s="53"/>
      <c r="L16" s="53"/>
      <c r="M16" s="52"/>
      <c r="N16" s="52"/>
      <c r="O16" s="53"/>
      <c r="P16" s="53"/>
      <c r="Q16" s="52"/>
      <c r="R16" s="52"/>
      <c r="S16" s="53"/>
      <c r="T16" s="53"/>
      <c r="U16" s="73"/>
      <c r="V16" s="73"/>
      <c r="W16" s="73"/>
      <c r="X16" s="53"/>
      <c r="Y16" s="52"/>
      <c r="Z16" s="52"/>
      <c r="AA16" s="53"/>
      <c r="AB16" s="53"/>
      <c r="AC16" s="52"/>
      <c r="AD16" s="52"/>
      <c r="AE16" s="53"/>
      <c r="AF16" s="53"/>
      <c r="AG16" s="52"/>
      <c r="AH16" s="52"/>
      <c r="AI16" s="55"/>
    </row>
    <row r="17" spans="1:35" ht="21.75" customHeight="1" x14ac:dyDescent="0.25">
      <c r="A17" s="192">
        <v>9</v>
      </c>
      <c r="B17" s="152"/>
      <c r="C17" s="152"/>
      <c r="D17" s="152"/>
      <c r="E17" s="152"/>
      <c r="F17" s="152"/>
      <c r="G17" s="152"/>
      <c r="H17" s="152"/>
      <c r="I17" s="152"/>
      <c r="J17" s="193"/>
      <c r="K17" s="53"/>
      <c r="L17" s="53"/>
      <c r="M17" s="52"/>
      <c r="N17" s="52"/>
      <c r="O17" s="53"/>
      <c r="P17" s="53"/>
      <c r="Q17" s="52"/>
      <c r="R17" s="52"/>
      <c r="S17" s="53"/>
      <c r="T17" s="53"/>
      <c r="U17" s="52"/>
      <c r="V17" s="73"/>
      <c r="W17" s="73"/>
      <c r="X17" s="73"/>
      <c r="Y17" s="52"/>
      <c r="Z17" s="52"/>
      <c r="AA17" s="53"/>
      <c r="AB17" s="53"/>
      <c r="AC17" s="52"/>
      <c r="AD17" s="52"/>
      <c r="AE17" s="53"/>
      <c r="AF17" s="53"/>
      <c r="AG17" s="52"/>
      <c r="AH17" s="52"/>
      <c r="AI17" s="54"/>
    </row>
    <row r="18" spans="1:35" ht="21.75" customHeight="1" x14ac:dyDescent="0.25">
      <c r="A18" s="44" t="s">
        <v>547</v>
      </c>
      <c r="B18" s="45"/>
      <c r="C18" s="45"/>
      <c r="D18" s="45"/>
      <c r="E18" s="45"/>
      <c r="F18" s="45"/>
      <c r="G18" s="45"/>
      <c r="H18" s="45"/>
      <c r="I18" s="45"/>
      <c r="J18" s="45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</row>
    <row r="19" spans="1:35" ht="21.75" customHeight="1" x14ac:dyDescent="0.25">
      <c r="A19" s="74">
        <v>10</v>
      </c>
      <c r="B19" s="75" t="s">
        <v>106</v>
      </c>
      <c r="C19" s="74" t="s">
        <v>109</v>
      </c>
      <c r="D19" s="74" t="s">
        <v>236</v>
      </c>
      <c r="E19" s="144">
        <v>45397</v>
      </c>
      <c r="F19" s="144">
        <v>45411</v>
      </c>
      <c r="G19" s="74">
        <v>14</v>
      </c>
      <c r="H19" s="72" t="s">
        <v>102</v>
      </c>
      <c r="I19" s="76">
        <v>0</v>
      </c>
      <c r="J19" s="74" t="s">
        <v>94</v>
      </c>
      <c r="K19" s="53"/>
      <c r="L19" s="53"/>
      <c r="M19" s="52"/>
      <c r="N19" s="52"/>
      <c r="O19" s="53"/>
      <c r="P19" s="53"/>
      <c r="Q19" s="52"/>
      <c r="R19" s="52"/>
      <c r="S19" s="53"/>
      <c r="T19" s="53"/>
      <c r="U19" s="52"/>
      <c r="V19" s="52"/>
      <c r="W19" s="53"/>
      <c r="X19" s="53"/>
      <c r="Y19" s="52"/>
      <c r="Z19" s="77"/>
      <c r="AA19" s="77"/>
      <c r="AB19" s="77"/>
      <c r="AC19" s="52"/>
      <c r="AD19" s="52"/>
      <c r="AE19" s="53"/>
      <c r="AF19" s="53"/>
      <c r="AG19" s="52"/>
      <c r="AH19" s="52"/>
      <c r="AI19" s="54"/>
    </row>
    <row r="20" spans="1:35" ht="15" customHeight="1" x14ac:dyDescent="0.25"/>
    <row r="21" spans="1:35" ht="19.5" customHeight="1" x14ac:dyDescent="0.25">
      <c r="A21" s="78" t="s">
        <v>548</v>
      </c>
      <c r="B21" s="79" t="s">
        <v>549</v>
      </c>
      <c r="C21" s="80" t="s">
        <v>550</v>
      </c>
      <c r="D21" s="81" t="s">
        <v>551</v>
      </c>
      <c r="E21" s="82" t="s">
        <v>552</v>
      </c>
      <c r="F21" s="83" t="s">
        <v>553</v>
      </c>
      <c r="G21" s="84" t="s">
        <v>554</v>
      </c>
      <c r="H21" s="85" t="s">
        <v>555</v>
      </c>
    </row>
  </sheetData>
  <mergeCells count="12">
    <mergeCell ref="A17:J17"/>
    <mergeCell ref="A9:J9"/>
    <mergeCell ref="AA3:AD3"/>
    <mergeCell ref="O3:R3"/>
    <mergeCell ref="A1:AE1"/>
    <mergeCell ref="A4:J4"/>
    <mergeCell ref="A13:J13"/>
    <mergeCell ref="A5:J5"/>
    <mergeCell ref="W3:Z3"/>
    <mergeCell ref="S3:V3"/>
    <mergeCell ref="AE3:AI3"/>
    <mergeCell ref="K3:N3"/>
  </mergeCells>
  <hyperlinks>
    <hyperlink ref="A2" location="'Project Overview'!A1" display="← Back to Project Overview  |  Jan – Jun 2024  |  4 Phases  |  10 Techniques" xr:uid="{00000000-0004-0000-03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1"/>
  <sheetViews>
    <sheetView zoomScaleNormal="100" workbookViewId="0">
      <pane ySplit="3" topLeftCell="A4" activePane="bottomLeft" state="frozen"/>
      <selection pane="bottomLeft" activeCell="I29" sqref="I29"/>
    </sheetView>
  </sheetViews>
  <sheetFormatPr defaultColWidth="8.7109375" defaultRowHeight="15" x14ac:dyDescent="0.25"/>
  <cols>
    <col min="1" max="1" width="45" customWidth="1"/>
    <col min="2" max="2" width="17" customWidth="1"/>
    <col min="3" max="3" width="22" customWidth="1"/>
    <col min="4" max="4" width="18" customWidth="1"/>
    <col min="5" max="5" width="43" customWidth="1"/>
    <col min="6" max="10" width="15" customWidth="1"/>
    <col min="11" max="11" width="19" customWidth="1"/>
    <col min="12" max="12" width="15" customWidth="1"/>
    <col min="13" max="14" width="19" customWidth="1"/>
    <col min="15" max="15" width="29" customWidth="1"/>
  </cols>
  <sheetData>
    <row r="1" spans="1:15" ht="25.5" customHeight="1" x14ac:dyDescent="0.25">
      <c r="A1" s="199" t="s">
        <v>556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</row>
    <row r="2" spans="1:15" ht="15" customHeight="1" x14ac:dyDescent="0.25">
      <c r="O2" s="139" t="s">
        <v>111</v>
      </c>
    </row>
    <row r="3" spans="1:15" ht="31.5" customHeight="1" x14ac:dyDescent="0.25">
      <c r="A3" s="16" t="s">
        <v>112</v>
      </c>
      <c r="B3" s="16" t="s">
        <v>557</v>
      </c>
      <c r="C3" s="16" t="s">
        <v>558</v>
      </c>
      <c r="D3" s="16" t="s">
        <v>11</v>
      </c>
      <c r="E3" s="16" t="s">
        <v>559</v>
      </c>
      <c r="F3" s="16" t="s">
        <v>560</v>
      </c>
      <c r="G3" s="16" t="s">
        <v>561</v>
      </c>
      <c r="H3" s="16" t="s">
        <v>562</v>
      </c>
      <c r="I3" s="16" t="s">
        <v>563</v>
      </c>
      <c r="J3" s="16" t="s">
        <v>564</v>
      </c>
      <c r="K3" s="16" t="s">
        <v>117</v>
      </c>
      <c r="L3" s="16" t="s">
        <v>565</v>
      </c>
      <c r="M3" s="16" t="s">
        <v>566</v>
      </c>
      <c r="N3" s="16" t="s">
        <v>567</v>
      </c>
      <c r="O3" s="16" t="s">
        <v>17</v>
      </c>
    </row>
    <row r="4" spans="1:15" ht="15" customHeight="1" x14ac:dyDescent="0.25">
      <c r="A4" s="86">
        <v>1</v>
      </c>
      <c r="B4" s="87" t="s">
        <v>211</v>
      </c>
      <c r="C4" s="87" t="s">
        <v>568</v>
      </c>
      <c r="D4" s="87" t="s">
        <v>123</v>
      </c>
      <c r="E4" s="88" t="s">
        <v>569</v>
      </c>
      <c r="F4" s="86">
        <v>2</v>
      </c>
      <c r="G4" s="86">
        <v>2</v>
      </c>
      <c r="H4" s="86">
        <v>1</v>
      </c>
      <c r="I4" s="86">
        <v>0</v>
      </c>
      <c r="J4" s="86">
        <v>5</v>
      </c>
      <c r="K4" s="89">
        <v>3500</v>
      </c>
      <c r="L4" s="86">
        <v>168</v>
      </c>
      <c r="M4" s="90">
        <v>0.9</v>
      </c>
      <c r="N4" s="90">
        <v>0.85</v>
      </c>
      <c r="O4" s="86" t="s">
        <v>570</v>
      </c>
    </row>
    <row r="5" spans="1:15" ht="15" customHeight="1" x14ac:dyDescent="0.25">
      <c r="A5" s="91">
        <v>2</v>
      </c>
      <c r="B5" s="92" t="s">
        <v>227</v>
      </c>
      <c r="C5" s="92" t="s">
        <v>571</v>
      </c>
      <c r="D5" s="92" t="s">
        <v>232</v>
      </c>
      <c r="E5" s="93" t="s">
        <v>572</v>
      </c>
      <c r="F5" s="91">
        <v>1</v>
      </c>
      <c r="G5" s="91">
        <v>1</v>
      </c>
      <c r="H5" s="91">
        <v>1</v>
      </c>
      <c r="I5" s="91">
        <v>0</v>
      </c>
      <c r="J5" s="91">
        <v>3</v>
      </c>
      <c r="K5" s="94">
        <v>4000</v>
      </c>
      <c r="L5" s="91">
        <v>140</v>
      </c>
      <c r="M5" s="95">
        <v>0.8</v>
      </c>
      <c r="N5" s="95">
        <v>0.78</v>
      </c>
      <c r="O5" s="91" t="s">
        <v>570</v>
      </c>
    </row>
    <row r="6" spans="1:15" ht="15" customHeight="1" x14ac:dyDescent="0.25">
      <c r="A6" s="86">
        <v>3</v>
      </c>
      <c r="B6" s="87" t="s">
        <v>140</v>
      </c>
      <c r="C6" s="87" t="s">
        <v>573</v>
      </c>
      <c r="D6" s="87" t="s">
        <v>286</v>
      </c>
      <c r="E6" s="88" t="s">
        <v>574</v>
      </c>
      <c r="F6" s="86">
        <v>0</v>
      </c>
      <c r="G6" s="86">
        <v>1</v>
      </c>
      <c r="H6" s="86">
        <v>1</v>
      </c>
      <c r="I6" s="86">
        <v>1</v>
      </c>
      <c r="J6" s="86">
        <v>3</v>
      </c>
      <c r="K6" s="89">
        <v>4200</v>
      </c>
      <c r="L6" s="86">
        <v>160</v>
      </c>
      <c r="M6" s="90">
        <v>0.95</v>
      </c>
      <c r="N6" s="90">
        <v>0.9</v>
      </c>
      <c r="O6" s="86" t="s">
        <v>570</v>
      </c>
    </row>
    <row r="7" spans="1:15" ht="15" customHeight="1" x14ac:dyDescent="0.25">
      <c r="A7" s="91">
        <v>4</v>
      </c>
      <c r="B7" s="92" t="s">
        <v>122</v>
      </c>
      <c r="C7" s="92" t="s">
        <v>575</v>
      </c>
      <c r="D7" s="92" t="s">
        <v>182</v>
      </c>
      <c r="E7" s="93" t="s">
        <v>576</v>
      </c>
      <c r="F7" s="91">
        <v>0</v>
      </c>
      <c r="G7" s="91">
        <v>1</v>
      </c>
      <c r="H7" s="91">
        <v>1</v>
      </c>
      <c r="I7" s="91">
        <v>1</v>
      </c>
      <c r="J7" s="91">
        <v>3</v>
      </c>
      <c r="K7" s="94">
        <v>3000</v>
      </c>
      <c r="L7" s="91">
        <v>120</v>
      </c>
      <c r="M7" s="95">
        <v>0.7</v>
      </c>
      <c r="N7" s="95">
        <v>0.65</v>
      </c>
      <c r="O7" s="91" t="s">
        <v>570</v>
      </c>
    </row>
    <row r="8" spans="1:15" ht="15" customHeight="1" x14ac:dyDescent="0.25">
      <c r="A8" s="86">
        <v>5</v>
      </c>
      <c r="B8" s="87" t="s">
        <v>6</v>
      </c>
      <c r="C8" s="87" t="s">
        <v>5</v>
      </c>
      <c r="D8" s="87" t="s">
        <v>159</v>
      </c>
      <c r="E8" s="88" t="s">
        <v>577</v>
      </c>
      <c r="F8" s="86">
        <v>1</v>
      </c>
      <c r="G8" s="86">
        <v>1</v>
      </c>
      <c r="H8" s="86">
        <v>1</v>
      </c>
      <c r="I8" s="86">
        <v>1</v>
      </c>
      <c r="J8" s="86">
        <v>4</v>
      </c>
      <c r="K8" s="89">
        <v>5000</v>
      </c>
      <c r="L8" s="86">
        <v>80</v>
      </c>
      <c r="M8" s="90">
        <v>0.6</v>
      </c>
      <c r="N8" s="90">
        <v>0.55000000000000004</v>
      </c>
      <c r="O8" s="86" t="s">
        <v>570</v>
      </c>
    </row>
    <row r="9" spans="1:15" ht="15" customHeight="1" x14ac:dyDescent="0.25">
      <c r="A9" s="91">
        <v>6</v>
      </c>
      <c r="B9" s="92" t="s">
        <v>158</v>
      </c>
      <c r="C9" s="92" t="s">
        <v>578</v>
      </c>
      <c r="D9" s="92" t="s">
        <v>123</v>
      </c>
      <c r="E9" s="93" t="s">
        <v>579</v>
      </c>
      <c r="F9" s="91">
        <v>1</v>
      </c>
      <c r="G9" s="91">
        <v>1</v>
      </c>
      <c r="H9" s="91">
        <v>0</v>
      </c>
      <c r="I9" s="91">
        <v>0</v>
      </c>
      <c r="J9" s="91">
        <v>2</v>
      </c>
      <c r="K9" s="94">
        <v>2000</v>
      </c>
      <c r="L9" s="91">
        <v>80</v>
      </c>
      <c r="M9" s="95">
        <v>1</v>
      </c>
      <c r="N9" s="95">
        <v>0.7</v>
      </c>
      <c r="O9" s="91" t="s">
        <v>570</v>
      </c>
    </row>
    <row r="10" spans="1:15" ht="15" customHeight="1" x14ac:dyDescent="0.25">
      <c r="A10" s="86">
        <v>7</v>
      </c>
      <c r="B10" s="87" t="s">
        <v>337</v>
      </c>
      <c r="C10" s="87" t="s">
        <v>580</v>
      </c>
      <c r="D10" s="87" t="s">
        <v>286</v>
      </c>
      <c r="E10" s="88" t="s">
        <v>581</v>
      </c>
      <c r="F10" s="86">
        <v>0</v>
      </c>
      <c r="G10" s="86">
        <v>0</v>
      </c>
      <c r="H10" s="86">
        <v>1</v>
      </c>
      <c r="I10" s="86">
        <v>1</v>
      </c>
      <c r="J10" s="86">
        <v>2</v>
      </c>
      <c r="K10" s="89">
        <v>5500</v>
      </c>
      <c r="L10" s="86">
        <v>60</v>
      </c>
      <c r="M10" s="90">
        <v>0.5</v>
      </c>
      <c r="N10" s="90">
        <v>0.45</v>
      </c>
      <c r="O10" s="86" t="s">
        <v>582</v>
      </c>
    </row>
    <row r="11" spans="1:15" ht="15" customHeight="1" x14ac:dyDescent="0.25">
      <c r="A11" s="198" t="s">
        <v>583</v>
      </c>
      <c r="B11" s="157"/>
      <c r="C11" s="157"/>
      <c r="D11" s="157"/>
      <c r="E11" s="157"/>
      <c r="F11" s="96">
        <f>SUM(F4:F10)</f>
        <v>5</v>
      </c>
      <c r="G11" s="96">
        <f>SUM(G4:G10)</f>
        <v>7</v>
      </c>
      <c r="H11" s="96">
        <f>SUM(H4:H10)</f>
        <v>6</v>
      </c>
      <c r="I11" s="96">
        <f>SUM(I4:I10)</f>
        <v>4</v>
      </c>
      <c r="J11" s="96">
        <f>SUM(J4:J10)</f>
        <v>22</v>
      </c>
      <c r="K11" s="97">
        <f>AVERAGE(K4:K10)</f>
        <v>3885.7142857142858</v>
      </c>
      <c r="L11" s="96">
        <f>SUM(L4:L10)</f>
        <v>808</v>
      </c>
      <c r="M11" s="98">
        <f>AVERAGE(M4:M10)</f>
        <v>0.77857142857142869</v>
      </c>
      <c r="N11" s="98">
        <f>AVERAGE(N4:N10)</f>
        <v>0.69714285714285718</v>
      </c>
      <c r="O11" s="96"/>
    </row>
    <row r="13" spans="1:15" ht="15" customHeight="1" x14ac:dyDescent="0.25">
      <c r="A13" s="200" t="s">
        <v>584</v>
      </c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</row>
    <row r="14" spans="1:15" ht="15" customHeight="1" x14ac:dyDescent="0.25">
      <c r="A14" s="96" t="s">
        <v>585</v>
      </c>
      <c r="B14" s="96" t="s">
        <v>74</v>
      </c>
      <c r="C14" s="96" t="s">
        <v>87</v>
      </c>
      <c r="D14" s="96" t="s">
        <v>98</v>
      </c>
      <c r="E14" s="96" t="s">
        <v>109</v>
      </c>
      <c r="F14" s="96" t="s">
        <v>564</v>
      </c>
      <c r="G14" s="96" t="s">
        <v>118</v>
      </c>
      <c r="H14" s="96" t="s">
        <v>586</v>
      </c>
    </row>
    <row r="15" spans="1:15" ht="15" customHeight="1" x14ac:dyDescent="0.25">
      <c r="A15" s="87" t="s">
        <v>211</v>
      </c>
      <c r="B15" s="86">
        <v>2</v>
      </c>
      <c r="C15" s="86">
        <v>2</v>
      </c>
      <c r="D15" s="86">
        <v>1</v>
      </c>
      <c r="E15" s="86">
        <v>0</v>
      </c>
      <c r="F15" s="86">
        <v>5</v>
      </c>
      <c r="G15" s="86">
        <v>168</v>
      </c>
      <c r="H15" s="90">
        <v>0.85</v>
      </c>
    </row>
    <row r="16" spans="1:15" ht="15" customHeight="1" x14ac:dyDescent="0.25">
      <c r="A16" s="92" t="s">
        <v>227</v>
      </c>
      <c r="B16" s="91">
        <v>1</v>
      </c>
      <c r="C16" s="91">
        <v>1</v>
      </c>
      <c r="D16" s="91">
        <v>1</v>
      </c>
      <c r="E16" s="91">
        <v>0</v>
      </c>
      <c r="F16" s="91">
        <v>3</v>
      </c>
      <c r="G16" s="91">
        <v>140</v>
      </c>
      <c r="H16" s="95">
        <v>0.78</v>
      </c>
    </row>
    <row r="17" spans="1:8" ht="15" customHeight="1" x14ac:dyDescent="0.25">
      <c r="A17" s="87" t="s">
        <v>140</v>
      </c>
      <c r="B17" s="86">
        <v>0</v>
      </c>
      <c r="C17" s="86">
        <v>1</v>
      </c>
      <c r="D17" s="86">
        <v>1</v>
      </c>
      <c r="E17" s="86">
        <v>1</v>
      </c>
      <c r="F17" s="86">
        <v>3</v>
      </c>
      <c r="G17" s="86">
        <v>160</v>
      </c>
      <c r="H17" s="90">
        <v>0.9</v>
      </c>
    </row>
    <row r="18" spans="1:8" ht="15" customHeight="1" x14ac:dyDescent="0.25">
      <c r="A18" s="92" t="s">
        <v>122</v>
      </c>
      <c r="B18" s="91">
        <v>0</v>
      </c>
      <c r="C18" s="91">
        <v>1</v>
      </c>
      <c r="D18" s="91">
        <v>1</v>
      </c>
      <c r="E18" s="91">
        <v>1</v>
      </c>
      <c r="F18" s="91">
        <v>3</v>
      </c>
      <c r="G18" s="91">
        <v>120</v>
      </c>
      <c r="H18" s="95">
        <v>0.65</v>
      </c>
    </row>
    <row r="19" spans="1:8" ht="15" customHeight="1" x14ac:dyDescent="0.25">
      <c r="A19" s="87" t="s">
        <v>6</v>
      </c>
      <c r="B19" s="86">
        <v>1</v>
      </c>
      <c r="C19" s="86">
        <v>1</v>
      </c>
      <c r="D19" s="86">
        <v>1</v>
      </c>
      <c r="E19" s="86">
        <v>1</v>
      </c>
      <c r="F19" s="86">
        <v>4</v>
      </c>
      <c r="G19" s="86">
        <v>80</v>
      </c>
      <c r="H19" s="90">
        <v>0.55000000000000004</v>
      </c>
    </row>
    <row r="20" spans="1:8" ht="15" customHeight="1" x14ac:dyDescent="0.25">
      <c r="A20" s="92" t="s">
        <v>158</v>
      </c>
      <c r="B20" s="91">
        <v>1</v>
      </c>
      <c r="C20" s="91">
        <v>1</v>
      </c>
      <c r="D20" s="91">
        <v>0</v>
      </c>
      <c r="E20" s="91">
        <v>0</v>
      </c>
      <c r="F20" s="91">
        <v>2</v>
      </c>
      <c r="G20" s="91">
        <v>80</v>
      </c>
      <c r="H20" s="95">
        <v>0.7</v>
      </c>
    </row>
    <row r="21" spans="1:8" ht="15" customHeight="1" x14ac:dyDescent="0.25">
      <c r="A21" s="87" t="s">
        <v>337</v>
      </c>
      <c r="B21" s="86">
        <v>0</v>
      </c>
      <c r="C21" s="86">
        <v>0</v>
      </c>
      <c r="D21" s="86">
        <v>1</v>
      </c>
      <c r="E21" s="86">
        <v>1</v>
      </c>
      <c r="F21" s="86">
        <v>2</v>
      </c>
      <c r="G21" s="86">
        <v>60</v>
      </c>
      <c r="H21" s="90">
        <v>0.45</v>
      </c>
    </row>
  </sheetData>
  <mergeCells count="3">
    <mergeCell ref="A11:E11"/>
    <mergeCell ref="A1:O1"/>
    <mergeCell ref="A13:O13"/>
  </mergeCells>
  <hyperlinks>
    <hyperlink ref="O2" location="'Project Overview'!A1" display="← Back to Project Overview" xr:uid="{00000000-0004-0000-0400-000000000000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3"/>
  <sheetViews>
    <sheetView zoomScaleNormal="100" workbookViewId="0">
      <pane ySplit="3" topLeftCell="A4" activePane="bottomLeft" state="frozen"/>
      <selection pane="bottomLeft" sqref="A1:L1"/>
    </sheetView>
  </sheetViews>
  <sheetFormatPr defaultColWidth="8.7109375" defaultRowHeight="15" x14ac:dyDescent="0.25"/>
  <cols>
    <col min="1" max="1" width="45" customWidth="1"/>
    <col min="2" max="2" width="44" customWidth="1"/>
    <col min="3" max="3" width="10" customWidth="1"/>
    <col min="4" max="4" width="17" customWidth="1"/>
    <col min="5" max="5" width="11" customWidth="1"/>
    <col min="6" max="7" width="22" customWidth="1"/>
    <col min="8" max="8" width="11" customWidth="1"/>
    <col min="9" max="9" width="14" customWidth="1"/>
    <col min="10" max="10" width="13" customWidth="1"/>
    <col min="11" max="11" width="45" customWidth="1"/>
    <col min="12" max="12" width="29" customWidth="1"/>
    <col min="13" max="13" width="22" customWidth="1"/>
  </cols>
  <sheetData>
    <row r="1" spans="1:13" ht="25.5" customHeight="1" x14ac:dyDescent="0.25">
      <c r="A1" s="199" t="s">
        <v>587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</row>
    <row r="2" spans="1:13" ht="15" customHeight="1" x14ac:dyDescent="0.25">
      <c r="L2" s="139" t="s">
        <v>111</v>
      </c>
    </row>
    <row r="3" spans="1:13" ht="31.5" customHeight="1" x14ac:dyDescent="0.25">
      <c r="A3" s="16" t="s">
        <v>112</v>
      </c>
      <c r="B3" s="16" t="s">
        <v>588</v>
      </c>
      <c r="C3" s="16" t="s">
        <v>70</v>
      </c>
      <c r="D3" s="16" t="s">
        <v>529</v>
      </c>
      <c r="E3" s="16" t="s">
        <v>13</v>
      </c>
      <c r="F3" s="16" t="s">
        <v>7</v>
      </c>
      <c r="G3" s="16" t="s">
        <v>9</v>
      </c>
      <c r="H3" s="16" t="s">
        <v>589</v>
      </c>
      <c r="I3" s="16" t="s">
        <v>17</v>
      </c>
      <c r="J3" s="16" t="s">
        <v>116</v>
      </c>
      <c r="K3" s="16" t="s">
        <v>590</v>
      </c>
      <c r="L3" s="16" t="s">
        <v>591</v>
      </c>
      <c r="M3" s="16" t="s">
        <v>592</v>
      </c>
    </row>
    <row r="4" spans="1:13" ht="15" customHeight="1" x14ac:dyDescent="0.25">
      <c r="A4" s="23">
        <v>1</v>
      </c>
      <c r="B4" s="99" t="s">
        <v>71</v>
      </c>
      <c r="C4" s="100" t="s">
        <v>74</v>
      </c>
      <c r="D4" s="23" t="s">
        <v>211</v>
      </c>
      <c r="E4" s="23" t="s">
        <v>75</v>
      </c>
      <c r="F4" s="25">
        <v>45292</v>
      </c>
      <c r="G4" s="25">
        <v>45306</v>
      </c>
      <c r="H4" s="23">
        <v>14</v>
      </c>
      <c r="I4" s="23" t="s">
        <v>76</v>
      </c>
      <c r="J4" s="26">
        <v>1</v>
      </c>
      <c r="K4" s="101" t="s">
        <v>593</v>
      </c>
      <c r="L4" s="23" t="s">
        <v>594</v>
      </c>
      <c r="M4" s="25">
        <v>45308</v>
      </c>
    </row>
    <row r="5" spans="1:13" ht="15" customHeight="1" x14ac:dyDescent="0.25">
      <c r="A5" s="23">
        <v>2</v>
      </c>
      <c r="B5" s="99" t="s">
        <v>77</v>
      </c>
      <c r="C5" s="100" t="s">
        <v>74</v>
      </c>
      <c r="D5" s="23" t="s">
        <v>227</v>
      </c>
      <c r="E5" s="23" t="s">
        <v>75</v>
      </c>
      <c r="F5" s="25">
        <v>45299</v>
      </c>
      <c r="G5" s="25">
        <v>45309</v>
      </c>
      <c r="H5" s="23">
        <v>10</v>
      </c>
      <c r="I5" s="23" t="s">
        <v>76</v>
      </c>
      <c r="J5" s="26">
        <v>1</v>
      </c>
      <c r="K5" s="101" t="s">
        <v>79</v>
      </c>
      <c r="L5" s="23" t="s">
        <v>595</v>
      </c>
      <c r="M5" s="25">
        <v>45311</v>
      </c>
    </row>
    <row r="6" spans="1:13" ht="15" customHeight="1" x14ac:dyDescent="0.25">
      <c r="A6" s="23">
        <v>3</v>
      </c>
      <c r="B6" s="99" t="s">
        <v>80</v>
      </c>
      <c r="C6" s="100" t="s">
        <v>74</v>
      </c>
      <c r="D6" s="23" t="s">
        <v>337</v>
      </c>
      <c r="E6" s="23" t="s">
        <v>83</v>
      </c>
      <c r="F6" s="25">
        <v>45306</v>
      </c>
      <c r="G6" s="25">
        <v>45316</v>
      </c>
      <c r="H6" s="23">
        <v>10</v>
      </c>
      <c r="I6" s="23" t="s">
        <v>76</v>
      </c>
      <c r="J6" s="26">
        <v>1</v>
      </c>
      <c r="K6" s="101" t="s">
        <v>596</v>
      </c>
      <c r="L6" s="23" t="s">
        <v>597</v>
      </c>
      <c r="M6" s="25">
        <v>45318</v>
      </c>
    </row>
    <row r="7" spans="1:13" ht="15" customHeight="1" x14ac:dyDescent="0.25">
      <c r="A7" s="23">
        <v>4</v>
      </c>
      <c r="B7" s="99" t="s">
        <v>84</v>
      </c>
      <c r="C7" s="102" t="s">
        <v>87</v>
      </c>
      <c r="D7" s="23" t="s">
        <v>140</v>
      </c>
      <c r="E7" s="23" t="s">
        <v>75</v>
      </c>
      <c r="F7" s="25">
        <v>45320</v>
      </c>
      <c r="G7" s="25">
        <v>45334</v>
      </c>
      <c r="H7" s="23">
        <v>14</v>
      </c>
      <c r="I7" s="23" t="s">
        <v>76</v>
      </c>
      <c r="J7" s="26">
        <v>1</v>
      </c>
      <c r="K7" s="101" t="s">
        <v>598</v>
      </c>
      <c r="L7" s="23" t="s">
        <v>599</v>
      </c>
      <c r="M7" s="25">
        <v>45336</v>
      </c>
    </row>
    <row r="8" spans="1:13" ht="15" customHeight="1" x14ac:dyDescent="0.25">
      <c r="A8" s="23">
        <v>5</v>
      </c>
      <c r="B8" s="99" t="s">
        <v>88</v>
      </c>
      <c r="C8" s="102" t="s">
        <v>87</v>
      </c>
      <c r="D8" s="23" t="s">
        <v>122</v>
      </c>
      <c r="E8" s="23" t="s">
        <v>83</v>
      </c>
      <c r="F8" s="25">
        <v>45327</v>
      </c>
      <c r="G8" s="25">
        <v>45341</v>
      </c>
      <c r="H8" s="23">
        <v>14</v>
      </c>
      <c r="I8" s="23" t="s">
        <v>76</v>
      </c>
      <c r="J8" s="26">
        <v>1</v>
      </c>
      <c r="K8" s="101" t="s">
        <v>90</v>
      </c>
      <c r="L8" s="23" t="s">
        <v>600</v>
      </c>
      <c r="M8" s="25">
        <v>45343</v>
      </c>
    </row>
    <row r="9" spans="1:13" ht="15" customHeight="1" x14ac:dyDescent="0.25">
      <c r="A9" s="28">
        <v>6</v>
      </c>
      <c r="B9" s="103" t="s">
        <v>91</v>
      </c>
      <c r="C9" s="102" t="s">
        <v>87</v>
      </c>
      <c r="D9" s="28" t="s">
        <v>6</v>
      </c>
      <c r="E9" s="28" t="s">
        <v>94</v>
      </c>
      <c r="F9" s="30">
        <v>45334</v>
      </c>
      <c r="G9" s="30">
        <v>45346</v>
      </c>
      <c r="H9" s="28">
        <v>12</v>
      </c>
      <c r="I9" s="28" t="s">
        <v>18</v>
      </c>
      <c r="J9" s="31">
        <v>0.65</v>
      </c>
      <c r="K9" s="104" t="s">
        <v>601</v>
      </c>
      <c r="L9" s="28" t="s">
        <v>602</v>
      </c>
      <c r="M9" s="30">
        <v>45348</v>
      </c>
    </row>
    <row r="10" spans="1:13" ht="15" customHeight="1" x14ac:dyDescent="0.25">
      <c r="A10" s="28">
        <v>7</v>
      </c>
      <c r="B10" s="103" t="s">
        <v>95</v>
      </c>
      <c r="C10" s="105" t="s">
        <v>98</v>
      </c>
      <c r="D10" s="28" t="s">
        <v>140</v>
      </c>
      <c r="E10" s="28" t="s">
        <v>75</v>
      </c>
      <c r="F10" s="30">
        <v>45355</v>
      </c>
      <c r="G10" s="30">
        <v>45369</v>
      </c>
      <c r="H10" s="28">
        <v>14</v>
      </c>
      <c r="I10" s="28" t="s">
        <v>18</v>
      </c>
      <c r="J10" s="31">
        <v>0.4</v>
      </c>
      <c r="K10" s="104" t="s">
        <v>603</v>
      </c>
      <c r="L10" s="28" t="s">
        <v>604</v>
      </c>
      <c r="M10" s="30">
        <v>45371</v>
      </c>
    </row>
    <row r="11" spans="1:13" ht="15" customHeight="1" x14ac:dyDescent="0.25">
      <c r="A11" s="33">
        <v>8</v>
      </c>
      <c r="B11" s="106" t="s">
        <v>99</v>
      </c>
      <c r="C11" s="105" t="s">
        <v>98</v>
      </c>
      <c r="D11" s="33" t="s">
        <v>298</v>
      </c>
      <c r="E11" s="33" t="s">
        <v>83</v>
      </c>
      <c r="F11" s="35">
        <v>45362</v>
      </c>
      <c r="G11" s="35">
        <v>45376</v>
      </c>
      <c r="H11" s="33">
        <v>14</v>
      </c>
      <c r="I11" s="33" t="s">
        <v>102</v>
      </c>
      <c r="J11" s="36">
        <v>0</v>
      </c>
      <c r="K11" s="107" t="s">
        <v>101</v>
      </c>
      <c r="L11" s="33" t="s">
        <v>605</v>
      </c>
      <c r="M11" s="35">
        <v>45378</v>
      </c>
    </row>
    <row r="12" spans="1:13" ht="15" customHeight="1" x14ac:dyDescent="0.25">
      <c r="A12" s="33">
        <v>9</v>
      </c>
      <c r="B12" s="106" t="s">
        <v>103</v>
      </c>
      <c r="C12" s="105" t="s">
        <v>98</v>
      </c>
      <c r="D12" s="33" t="s">
        <v>173</v>
      </c>
      <c r="E12" s="33" t="s">
        <v>83</v>
      </c>
      <c r="F12" s="35">
        <v>45369</v>
      </c>
      <c r="G12" s="35">
        <v>45383</v>
      </c>
      <c r="H12" s="33">
        <v>14</v>
      </c>
      <c r="I12" s="33" t="s">
        <v>102</v>
      </c>
      <c r="J12" s="36">
        <v>0</v>
      </c>
      <c r="K12" s="107" t="s">
        <v>606</v>
      </c>
      <c r="L12" s="33" t="s">
        <v>607</v>
      </c>
      <c r="M12" s="35">
        <v>45385</v>
      </c>
    </row>
    <row r="13" spans="1:13" ht="15" customHeight="1" x14ac:dyDescent="0.25">
      <c r="A13" s="33">
        <v>10</v>
      </c>
      <c r="B13" s="106" t="s">
        <v>106</v>
      </c>
      <c r="C13" s="108" t="s">
        <v>109</v>
      </c>
      <c r="D13" s="33" t="s">
        <v>236</v>
      </c>
      <c r="E13" s="33" t="s">
        <v>94</v>
      </c>
      <c r="F13" s="35">
        <v>45397</v>
      </c>
      <c r="G13" s="35">
        <v>45411</v>
      </c>
      <c r="H13" s="33">
        <v>14</v>
      </c>
      <c r="I13" s="33" t="s">
        <v>102</v>
      </c>
      <c r="J13" s="36">
        <v>0</v>
      </c>
      <c r="K13" s="107" t="s">
        <v>108</v>
      </c>
      <c r="L13" s="33" t="s">
        <v>608</v>
      </c>
      <c r="M13" s="35">
        <v>45413</v>
      </c>
    </row>
  </sheetData>
  <mergeCells count="1">
    <mergeCell ref="A1:L1"/>
  </mergeCells>
  <hyperlinks>
    <hyperlink ref="L2" location="'Project Overview'!A1" display="← Back to Project Overview" xr:uid="{00000000-0004-0000-05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59"/>
  <sheetViews>
    <sheetView zoomScaleNormal="100" workbookViewId="0">
      <pane ySplit="2" topLeftCell="A3" activePane="bottomLeft" state="frozen"/>
      <selection pane="bottomLeft" sqref="A1:J1"/>
    </sheetView>
  </sheetViews>
  <sheetFormatPr defaultColWidth="8.7109375" defaultRowHeight="15" x14ac:dyDescent="0.25"/>
  <cols>
    <col min="1" max="1" width="45" customWidth="1"/>
    <col min="2" max="2" width="20" customWidth="1"/>
    <col min="3" max="3" width="17" customWidth="1"/>
    <col min="4" max="4" width="16" customWidth="1"/>
    <col min="5" max="5" width="36" customWidth="1"/>
    <col min="6" max="9" width="3" customWidth="1"/>
    <col min="10" max="10" width="29" customWidth="1"/>
  </cols>
  <sheetData>
    <row r="1" spans="1:10" ht="25.5" customHeight="1" x14ac:dyDescent="0.25">
      <c r="A1" s="199" t="s">
        <v>609</v>
      </c>
      <c r="B1" s="175"/>
      <c r="C1" s="175"/>
      <c r="D1" s="175"/>
      <c r="E1" s="175"/>
      <c r="F1" s="175"/>
      <c r="G1" s="175"/>
      <c r="H1" s="175"/>
      <c r="I1" s="175"/>
      <c r="J1" s="175"/>
    </row>
    <row r="2" spans="1:10" ht="15" customHeight="1" x14ac:dyDescent="0.25">
      <c r="J2" s="139" t="s">
        <v>111</v>
      </c>
    </row>
    <row r="4" spans="1:10" ht="15" customHeight="1" x14ac:dyDescent="0.25">
      <c r="A4" s="201" t="s">
        <v>610</v>
      </c>
      <c r="B4" s="157"/>
      <c r="C4" s="157"/>
      <c r="D4" s="157"/>
      <c r="E4" s="157"/>
      <c r="F4" s="157"/>
      <c r="G4" s="157"/>
      <c r="H4" s="157"/>
      <c r="I4" s="157"/>
      <c r="J4" s="157"/>
    </row>
    <row r="5" spans="1:10" ht="15" customHeight="1" x14ac:dyDescent="0.25">
      <c r="A5" s="203" t="s">
        <v>611</v>
      </c>
      <c r="B5" s="157"/>
      <c r="C5" s="157"/>
      <c r="D5" s="157"/>
      <c r="E5" s="157"/>
    </row>
    <row r="6" spans="1:10" ht="15" customHeight="1" x14ac:dyDescent="0.25">
      <c r="A6" s="109" t="s">
        <v>612</v>
      </c>
      <c r="B6" s="109" t="s">
        <v>613</v>
      </c>
      <c r="C6" s="109" t="s">
        <v>614</v>
      </c>
      <c r="D6" s="109" t="s">
        <v>615</v>
      </c>
      <c r="E6" s="109" t="s">
        <v>616</v>
      </c>
    </row>
    <row r="7" spans="1:10" ht="15" customHeight="1" x14ac:dyDescent="0.25">
      <c r="A7" s="110" t="s">
        <v>617</v>
      </c>
      <c r="B7" s="110" t="s">
        <v>211</v>
      </c>
      <c r="C7" s="110" t="s">
        <v>618</v>
      </c>
      <c r="D7" s="110" t="s">
        <v>619</v>
      </c>
      <c r="E7" s="110" t="s">
        <v>8</v>
      </c>
    </row>
    <row r="8" spans="1:10" ht="15" customHeight="1" x14ac:dyDescent="0.25">
      <c r="A8" s="110" t="s">
        <v>620</v>
      </c>
      <c r="B8" s="110" t="s">
        <v>227</v>
      </c>
      <c r="C8" s="110" t="s">
        <v>621</v>
      </c>
      <c r="D8" s="110" t="s">
        <v>622</v>
      </c>
      <c r="E8" s="110" t="s">
        <v>623</v>
      </c>
    </row>
    <row r="9" spans="1:10" ht="15" customHeight="1" x14ac:dyDescent="0.25">
      <c r="A9" s="110" t="s">
        <v>617</v>
      </c>
      <c r="B9" s="110" t="s">
        <v>211</v>
      </c>
      <c r="C9" s="110" t="s">
        <v>618</v>
      </c>
      <c r="D9" s="110" t="s">
        <v>619</v>
      </c>
      <c r="E9" s="111" t="s">
        <v>624</v>
      </c>
    </row>
    <row r="10" spans="1:10" ht="15" customHeight="1" x14ac:dyDescent="0.25">
      <c r="A10" s="110" t="s">
        <v>625</v>
      </c>
      <c r="B10" s="110" t="s">
        <v>158</v>
      </c>
      <c r="C10" s="110" t="s">
        <v>626</v>
      </c>
      <c r="D10" s="110" t="s">
        <v>627</v>
      </c>
      <c r="E10" s="110" t="s">
        <v>628</v>
      </c>
    </row>
    <row r="11" spans="1:10" ht="15" customHeight="1" x14ac:dyDescent="0.25">
      <c r="A11" s="110" t="s">
        <v>620</v>
      </c>
      <c r="B11" s="110" t="s">
        <v>227</v>
      </c>
      <c r="C11" s="110" t="s">
        <v>621</v>
      </c>
      <c r="D11" s="110" t="s">
        <v>622</v>
      </c>
      <c r="E11" s="111" t="s">
        <v>629</v>
      </c>
    </row>
    <row r="13" spans="1:10" ht="15" customHeight="1" x14ac:dyDescent="0.25">
      <c r="A13" s="202" t="s">
        <v>630</v>
      </c>
      <c r="B13" s="157"/>
      <c r="C13" s="157"/>
      <c r="D13" s="157"/>
      <c r="E13" s="157"/>
    </row>
    <row r="14" spans="1:10" ht="15" customHeight="1" x14ac:dyDescent="0.25">
      <c r="A14" s="112" t="s">
        <v>612</v>
      </c>
      <c r="B14" s="112" t="s">
        <v>613</v>
      </c>
      <c r="C14" s="112" t="s">
        <v>614</v>
      </c>
      <c r="D14" s="112" t="s">
        <v>615</v>
      </c>
      <c r="E14" s="112" t="s">
        <v>616</v>
      </c>
    </row>
    <row r="15" spans="1:10" ht="15" customHeight="1" x14ac:dyDescent="0.25">
      <c r="A15" s="113" t="s">
        <v>617</v>
      </c>
      <c r="B15" s="113" t="s">
        <v>211</v>
      </c>
      <c r="C15" s="113" t="s">
        <v>618</v>
      </c>
      <c r="D15" s="113" t="s">
        <v>619</v>
      </c>
      <c r="E15" s="113" t="s">
        <v>8</v>
      </c>
    </row>
    <row r="16" spans="1:10" ht="15" customHeight="1" x14ac:dyDescent="0.25">
      <c r="A16" s="113" t="s">
        <v>620</v>
      </c>
      <c r="B16" s="113" t="s">
        <v>227</v>
      </c>
      <c r="C16" s="113" t="s">
        <v>621</v>
      </c>
      <c r="D16" s="113" t="s">
        <v>622</v>
      </c>
      <c r="E16" s="113" t="s">
        <v>623</v>
      </c>
    </row>
    <row r="17" spans="1:10" ht="15" customHeight="1" x14ac:dyDescent="0.25">
      <c r="A17" s="113" t="s">
        <v>625</v>
      </c>
      <c r="B17" s="113" t="s">
        <v>158</v>
      </c>
      <c r="C17" s="113" t="s">
        <v>626</v>
      </c>
      <c r="D17" s="113" t="s">
        <v>627</v>
      </c>
      <c r="E17" s="113" t="s">
        <v>628</v>
      </c>
    </row>
    <row r="20" spans="1:10" ht="15" customHeight="1" x14ac:dyDescent="0.25">
      <c r="A20" s="201" t="s">
        <v>631</v>
      </c>
      <c r="B20" s="157"/>
      <c r="C20" s="157"/>
      <c r="D20" s="157"/>
      <c r="E20" s="157"/>
      <c r="F20" s="157"/>
      <c r="G20" s="157"/>
      <c r="H20" s="157"/>
      <c r="I20" s="157"/>
      <c r="J20" s="157"/>
    </row>
    <row r="21" spans="1:10" ht="15" customHeight="1" x14ac:dyDescent="0.25">
      <c r="A21" s="203" t="s">
        <v>611</v>
      </c>
      <c r="B21" s="157"/>
      <c r="C21" s="157"/>
      <c r="D21" s="157"/>
      <c r="E21" s="157"/>
    </row>
    <row r="22" spans="1:10" ht="15" customHeight="1" x14ac:dyDescent="0.25">
      <c r="A22" s="109" t="s">
        <v>632</v>
      </c>
      <c r="B22" s="109" t="s">
        <v>633</v>
      </c>
      <c r="C22" s="109" t="s">
        <v>634</v>
      </c>
    </row>
    <row r="23" spans="1:10" ht="15" customHeight="1" x14ac:dyDescent="0.25">
      <c r="A23" s="110" t="s">
        <v>635</v>
      </c>
      <c r="B23" s="110" t="s">
        <v>354</v>
      </c>
      <c r="C23" s="110" t="s">
        <v>636</v>
      </c>
    </row>
    <row r="24" spans="1:10" ht="15" customHeight="1" x14ac:dyDescent="0.25">
      <c r="A24" s="110" t="s">
        <v>637</v>
      </c>
      <c r="B24" s="110" t="s">
        <v>638</v>
      </c>
      <c r="C24" s="110" t="s">
        <v>639</v>
      </c>
    </row>
    <row r="25" spans="1:10" ht="15" customHeight="1" x14ac:dyDescent="0.25">
      <c r="A25" s="110" t="s">
        <v>640</v>
      </c>
      <c r="B25" s="110" t="s">
        <v>641</v>
      </c>
      <c r="C25" s="110" t="s">
        <v>642</v>
      </c>
    </row>
    <row r="26" spans="1:10" ht="15" customHeight="1" x14ac:dyDescent="0.25">
      <c r="A26" s="110" t="s">
        <v>643</v>
      </c>
      <c r="B26" s="110" t="s">
        <v>644</v>
      </c>
      <c r="C26" s="110" t="s">
        <v>645</v>
      </c>
    </row>
    <row r="28" spans="1:10" ht="15" customHeight="1" x14ac:dyDescent="0.25">
      <c r="A28" s="202" t="s">
        <v>630</v>
      </c>
      <c r="B28" s="157"/>
      <c r="C28" s="157"/>
      <c r="D28" s="157"/>
      <c r="E28" s="157"/>
    </row>
    <row r="29" spans="1:10" ht="15" customHeight="1" x14ac:dyDescent="0.25">
      <c r="A29" s="112" t="s">
        <v>632</v>
      </c>
      <c r="B29" s="112" t="s">
        <v>633</v>
      </c>
      <c r="C29" s="112" t="s">
        <v>634</v>
      </c>
    </row>
    <row r="30" spans="1:10" ht="15" customHeight="1" x14ac:dyDescent="0.25">
      <c r="A30" s="113" t="s">
        <v>635</v>
      </c>
      <c r="B30" s="113" t="s">
        <v>211</v>
      </c>
      <c r="C30" s="113" t="s">
        <v>636</v>
      </c>
    </row>
    <row r="31" spans="1:10" ht="15" customHeight="1" x14ac:dyDescent="0.25">
      <c r="A31" s="113" t="s">
        <v>637</v>
      </c>
      <c r="B31" s="113" t="s">
        <v>227</v>
      </c>
      <c r="C31" s="113" t="s">
        <v>639</v>
      </c>
    </row>
    <row r="32" spans="1:10" ht="15" customHeight="1" x14ac:dyDescent="0.25">
      <c r="A32" s="113" t="s">
        <v>640</v>
      </c>
      <c r="B32" s="113" t="s">
        <v>337</v>
      </c>
      <c r="C32" s="113" t="s">
        <v>642</v>
      </c>
    </row>
    <row r="33" spans="1:10" ht="15" customHeight="1" x14ac:dyDescent="0.25">
      <c r="A33" s="113" t="s">
        <v>643</v>
      </c>
      <c r="B33" s="113" t="s">
        <v>122</v>
      </c>
      <c r="C33" s="113" t="s">
        <v>645</v>
      </c>
    </row>
    <row r="36" spans="1:10" ht="15" customHeight="1" x14ac:dyDescent="0.25">
      <c r="A36" s="201" t="s">
        <v>646</v>
      </c>
      <c r="B36" s="157"/>
      <c r="C36" s="157"/>
      <c r="D36" s="157"/>
      <c r="E36" s="157"/>
      <c r="F36" s="157"/>
      <c r="G36" s="157"/>
      <c r="H36" s="157"/>
      <c r="I36" s="157"/>
      <c r="J36" s="157"/>
    </row>
    <row r="37" spans="1:10" ht="15" customHeight="1" x14ac:dyDescent="0.25">
      <c r="A37" s="203" t="s">
        <v>611</v>
      </c>
      <c r="B37" s="157"/>
      <c r="C37" s="157"/>
      <c r="D37" s="157"/>
      <c r="E37" s="157"/>
    </row>
    <row r="38" spans="1:10" ht="15" customHeight="1" x14ac:dyDescent="0.25">
      <c r="A38" s="109" t="s">
        <v>647</v>
      </c>
      <c r="B38" s="109" t="s">
        <v>648</v>
      </c>
      <c r="C38" s="109" t="s">
        <v>519</v>
      </c>
    </row>
    <row r="39" spans="1:10" ht="15" customHeight="1" x14ac:dyDescent="0.25">
      <c r="A39" s="110" t="s">
        <v>649</v>
      </c>
      <c r="B39" s="110" t="s">
        <v>650</v>
      </c>
      <c r="C39" s="110" t="s">
        <v>651</v>
      </c>
    </row>
    <row r="40" spans="1:10" ht="15" customHeight="1" x14ac:dyDescent="0.25">
      <c r="A40" s="110" t="s">
        <v>652</v>
      </c>
      <c r="B40" s="110" t="s">
        <v>653</v>
      </c>
      <c r="C40" s="110" t="s">
        <v>654</v>
      </c>
    </row>
    <row r="41" spans="1:10" ht="15" customHeight="1" x14ac:dyDescent="0.25">
      <c r="A41" s="110" t="s">
        <v>655</v>
      </c>
      <c r="B41" s="110" t="s">
        <v>656</v>
      </c>
      <c r="C41" s="110" t="s">
        <v>657</v>
      </c>
    </row>
    <row r="42" spans="1:10" ht="15" customHeight="1" x14ac:dyDescent="0.25">
      <c r="A42" s="110" t="s">
        <v>658</v>
      </c>
      <c r="B42" s="110" t="s">
        <v>659</v>
      </c>
      <c r="C42" s="110" t="s">
        <v>619</v>
      </c>
    </row>
    <row r="43" spans="1:10" ht="15" customHeight="1" x14ac:dyDescent="0.25">
      <c r="A43" s="110" t="s">
        <v>660</v>
      </c>
      <c r="B43" s="110" t="s">
        <v>661</v>
      </c>
      <c r="C43" s="110" t="s">
        <v>662</v>
      </c>
    </row>
    <row r="45" spans="1:10" ht="15" customHeight="1" x14ac:dyDescent="0.25">
      <c r="A45" s="202" t="s">
        <v>630</v>
      </c>
      <c r="B45" s="157"/>
      <c r="C45" s="157"/>
      <c r="D45" s="157"/>
      <c r="E45" s="157"/>
    </row>
    <row r="46" spans="1:10" ht="15" customHeight="1" x14ac:dyDescent="0.25">
      <c r="A46" s="112" t="s">
        <v>647</v>
      </c>
      <c r="B46" s="112" t="s">
        <v>648</v>
      </c>
      <c r="C46" s="112" t="s">
        <v>519</v>
      </c>
    </row>
    <row r="47" spans="1:10" ht="15" customHeight="1" x14ac:dyDescent="0.25">
      <c r="A47" s="113" t="s">
        <v>649</v>
      </c>
      <c r="B47" s="113" t="s">
        <v>656</v>
      </c>
      <c r="C47" s="113" t="s">
        <v>651</v>
      </c>
    </row>
    <row r="48" spans="1:10" ht="15" customHeight="1" x14ac:dyDescent="0.25">
      <c r="A48" s="113" t="s">
        <v>652</v>
      </c>
      <c r="B48" s="113" t="s">
        <v>663</v>
      </c>
      <c r="C48" s="113" t="s">
        <v>654</v>
      </c>
    </row>
    <row r="49" spans="1:10" ht="15" customHeight="1" x14ac:dyDescent="0.25">
      <c r="A49" s="113" t="s">
        <v>655</v>
      </c>
      <c r="B49" s="113" t="s">
        <v>656</v>
      </c>
      <c r="C49" s="113" t="s">
        <v>657</v>
      </c>
    </row>
    <row r="50" spans="1:10" ht="15" customHeight="1" x14ac:dyDescent="0.25">
      <c r="A50" s="113" t="s">
        <v>658</v>
      </c>
      <c r="B50" s="113" t="s">
        <v>663</v>
      </c>
      <c r="C50" s="113" t="s">
        <v>619</v>
      </c>
    </row>
    <row r="51" spans="1:10" ht="15" customHeight="1" x14ac:dyDescent="0.25">
      <c r="A51" s="113" t="s">
        <v>660</v>
      </c>
      <c r="B51" s="113" t="s">
        <v>656</v>
      </c>
      <c r="C51" s="113" t="s">
        <v>662</v>
      </c>
    </row>
    <row r="54" spans="1:10" ht="15" customHeight="1" x14ac:dyDescent="0.25">
      <c r="A54" s="201" t="s">
        <v>664</v>
      </c>
      <c r="B54" s="157"/>
      <c r="C54" s="157"/>
      <c r="D54" s="157"/>
      <c r="E54" s="157"/>
      <c r="F54" s="157"/>
      <c r="G54" s="157"/>
      <c r="H54" s="157"/>
      <c r="I54" s="157"/>
      <c r="J54" s="157"/>
    </row>
    <row r="55" spans="1:10" ht="15" customHeight="1" x14ac:dyDescent="0.25">
      <c r="A55" s="203" t="s">
        <v>611</v>
      </c>
      <c r="B55" s="157"/>
      <c r="C55" s="157"/>
      <c r="D55" s="157"/>
      <c r="E55" s="157"/>
    </row>
    <row r="56" spans="1:10" ht="15" customHeight="1" x14ac:dyDescent="0.25">
      <c r="A56" s="109" t="s">
        <v>665</v>
      </c>
      <c r="B56" s="109" t="s">
        <v>666</v>
      </c>
      <c r="C56" s="109" t="s">
        <v>667</v>
      </c>
    </row>
    <row r="57" spans="1:10" ht="15" customHeight="1" x14ac:dyDescent="0.25">
      <c r="A57" s="110" t="s">
        <v>668</v>
      </c>
      <c r="B57" s="110" t="s">
        <v>463</v>
      </c>
      <c r="C57" s="110" t="s">
        <v>669</v>
      </c>
    </row>
    <row r="58" spans="1:10" ht="15" customHeight="1" x14ac:dyDescent="0.25">
      <c r="A58" s="110" t="s">
        <v>670</v>
      </c>
      <c r="B58" s="110" t="s">
        <v>671</v>
      </c>
      <c r="C58" s="110" t="s">
        <v>672</v>
      </c>
    </row>
    <row r="59" spans="1:10" ht="15" customHeight="1" x14ac:dyDescent="0.25">
      <c r="A59" s="110" t="s">
        <v>673</v>
      </c>
      <c r="B59" s="110" t="s">
        <v>674</v>
      </c>
      <c r="C59" s="110" t="s">
        <v>675</v>
      </c>
    </row>
    <row r="60" spans="1:10" ht="15" customHeight="1" x14ac:dyDescent="0.25">
      <c r="A60" s="110" t="s">
        <v>676</v>
      </c>
      <c r="B60" s="110" t="s">
        <v>677</v>
      </c>
      <c r="C60" s="110" t="s">
        <v>678</v>
      </c>
    </row>
    <row r="62" spans="1:10" ht="15" customHeight="1" x14ac:dyDescent="0.25">
      <c r="A62" s="202" t="s">
        <v>630</v>
      </c>
      <c r="B62" s="157"/>
      <c r="C62" s="157"/>
      <c r="D62" s="157"/>
      <c r="E62" s="157"/>
    </row>
    <row r="63" spans="1:10" ht="15" customHeight="1" x14ac:dyDescent="0.25">
      <c r="A63" s="112" t="s">
        <v>665</v>
      </c>
      <c r="B63" s="112" t="s">
        <v>666</v>
      </c>
      <c r="C63" s="112" t="s">
        <v>667</v>
      </c>
    </row>
    <row r="64" spans="1:10" ht="15" customHeight="1" x14ac:dyDescent="0.25">
      <c r="A64" s="113" t="s">
        <v>668</v>
      </c>
      <c r="B64" s="113" t="s">
        <v>8</v>
      </c>
      <c r="C64" s="113" t="s">
        <v>669</v>
      </c>
    </row>
    <row r="65" spans="1:10" ht="15" customHeight="1" x14ac:dyDescent="0.25">
      <c r="A65" s="113" t="s">
        <v>670</v>
      </c>
      <c r="B65" s="113" t="s">
        <v>679</v>
      </c>
      <c r="C65" s="113" t="s">
        <v>672</v>
      </c>
    </row>
    <row r="66" spans="1:10" ht="15" customHeight="1" x14ac:dyDescent="0.25">
      <c r="A66" s="113" t="s">
        <v>673</v>
      </c>
      <c r="B66" s="113" t="s">
        <v>680</v>
      </c>
      <c r="C66" s="113" t="s">
        <v>675</v>
      </c>
    </row>
    <row r="67" spans="1:10" ht="15" customHeight="1" x14ac:dyDescent="0.25">
      <c r="A67" s="113" t="s">
        <v>676</v>
      </c>
      <c r="B67" s="113" t="s">
        <v>681</v>
      </c>
      <c r="C67" s="113" t="s">
        <v>678</v>
      </c>
    </row>
    <row r="70" spans="1:10" ht="15" customHeight="1" x14ac:dyDescent="0.25">
      <c r="A70" s="201" t="s">
        <v>682</v>
      </c>
      <c r="B70" s="157"/>
      <c r="C70" s="157"/>
      <c r="D70" s="157"/>
      <c r="E70" s="157"/>
      <c r="F70" s="157"/>
      <c r="G70" s="157"/>
      <c r="H70" s="157"/>
      <c r="I70" s="157"/>
      <c r="J70" s="157"/>
    </row>
    <row r="71" spans="1:10" ht="15" customHeight="1" x14ac:dyDescent="0.25">
      <c r="A71" s="203" t="s">
        <v>611</v>
      </c>
      <c r="B71" s="157"/>
      <c r="C71" s="157"/>
      <c r="D71" s="157"/>
      <c r="E71" s="157"/>
    </row>
    <row r="72" spans="1:10" ht="15" customHeight="1" x14ac:dyDescent="0.25">
      <c r="A72" s="109" t="s">
        <v>632</v>
      </c>
      <c r="B72" s="109" t="s">
        <v>683</v>
      </c>
      <c r="C72" s="109" t="s">
        <v>684</v>
      </c>
      <c r="D72" s="109" t="s">
        <v>685</v>
      </c>
    </row>
    <row r="73" spans="1:10" ht="15" customHeight="1" x14ac:dyDescent="0.25">
      <c r="A73" s="110" t="s">
        <v>635</v>
      </c>
      <c r="B73" s="110" t="s">
        <v>211</v>
      </c>
      <c r="C73" s="110" t="s">
        <v>656</v>
      </c>
      <c r="D73" s="110" t="s">
        <v>686</v>
      </c>
    </row>
    <row r="74" spans="1:10" ht="15" customHeight="1" x14ac:dyDescent="0.25">
      <c r="A74" s="110" t="s">
        <v>637</v>
      </c>
      <c r="B74" s="110"/>
      <c r="C74" s="110" t="s">
        <v>663</v>
      </c>
      <c r="D74" s="110"/>
    </row>
    <row r="75" spans="1:10" ht="15" customHeight="1" x14ac:dyDescent="0.25">
      <c r="A75" s="110" t="s">
        <v>640</v>
      </c>
      <c r="B75" s="110" t="s">
        <v>6</v>
      </c>
      <c r="C75" s="110"/>
      <c r="D75" s="110" t="s">
        <v>687</v>
      </c>
    </row>
    <row r="76" spans="1:10" ht="15" customHeight="1" x14ac:dyDescent="0.25">
      <c r="A76" s="110" t="s">
        <v>643</v>
      </c>
      <c r="B76" s="110" t="s">
        <v>122</v>
      </c>
      <c r="C76" s="110" t="s">
        <v>688</v>
      </c>
      <c r="D76" s="110"/>
    </row>
    <row r="78" spans="1:10" ht="15" customHeight="1" x14ac:dyDescent="0.25">
      <c r="A78" s="202" t="s">
        <v>630</v>
      </c>
      <c r="B78" s="157"/>
      <c r="C78" s="157"/>
      <c r="D78" s="157"/>
      <c r="E78" s="157"/>
    </row>
    <row r="79" spans="1:10" ht="15" customHeight="1" x14ac:dyDescent="0.25">
      <c r="A79" s="112" t="s">
        <v>632</v>
      </c>
      <c r="B79" s="112" t="s">
        <v>683</v>
      </c>
      <c r="C79" s="112" t="s">
        <v>684</v>
      </c>
      <c r="D79" s="112" t="s">
        <v>685</v>
      </c>
    </row>
    <row r="80" spans="1:10" ht="15" customHeight="1" x14ac:dyDescent="0.25">
      <c r="A80" s="113" t="s">
        <v>635</v>
      </c>
      <c r="B80" s="113" t="s">
        <v>211</v>
      </c>
      <c r="C80" s="113" t="s">
        <v>656</v>
      </c>
      <c r="D80" s="113" t="s">
        <v>686</v>
      </c>
    </row>
    <row r="81" spans="1:10" ht="15" customHeight="1" x14ac:dyDescent="0.25">
      <c r="A81" s="113" t="s">
        <v>637</v>
      </c>
      <c r="B81" s="113" t="s">
        <v>689</v>
      </c>
      <c r="C81" s="113" t="s">
        <v>663</v>
      </c>
      <c r="D81" s="113" t="s">
        <v>153</v>
      </c>
    </row>
    <row r="82" spans="1:10" ht="15" customHeight="1" x14ac:dyDescent="0.25">
      <c r="A82" s="113" t="s">
        <v>640</v>
      </c>
      <c r="B82" s="113" t="s">
        <v>6</v>
      </c>
      <c r="C82" s="113" t="s">
        <v>690</v>
      </c>
      <c r="D82" s="113" t="s">
        <v>687</v>
      </c>
    </row>
    <row r="83" spans="1:10" ht="15" customHeight="1" x14ac:dyDescent="0.25">
      <c r="A83" s="113" t="s">
        <v>643</v>
      </c>
      <c r="B83" s="113" t="s">
        <v>122</v>
      </c>
      <c r="C83" s="113" t="s">
        <v>688</v>
      </c>
      <c r="D83" s="113" t="s">
        <v>153</v>
      </c>
    </row>
    <row r="86" spans="1:10" ht="15" customHeight="1" x14ac:dyDescent="0.25">
      <c r="A86" s="201" t="s">
        <v>691</v>
      </c>
      <c r="B86" s="157"/>
      <c r="C86" s="157"/>
      <c r="D86" s="157"/>
      <c r="E86" s="157"/>
      <c r="F86" s="157"/>
      <c r="G86" s="157"/>
      <c r="H86" s="157"/>
      <c r="I86" s="157"/>
      <c r="J86" s="157"/>
    </row>
    <row r="87" spans="1:10" ht="15" customHeight="1" x14ac:dyDescent="0.25">
      <c r="A87" s="203" t="s">
        <v>611</v>
      </c>
      <c r="B87" s="157"/>
      <c r="C87" s="157"/>
      <c r="D87" s="157"/>
      <c r="E87" s="157"/>
    </row>
    <row r="88" spans="1:10" ht="15" customHeight="1" x14ac:dyDescent="0.25">
      <c r="A88" s="109" t="s">
        <v>692</v>
      </c>
      <c r="B88" s="109" t="s">
        <v>693</v>
      </c>
      <c r="C88" s="109" t="s">
        <v>694</v>
      </c>
      <c r="D88" s="109" t="s">
        <v>634</v>
      </c>
    </row>
    <row r="89" spans="1:10" ht="15" customHeight="1" x14ac:dyDescent="0.25">
      <c r="A89" s="110" t="s">
        <v>211</v>
      </c>
      <c r="B89" s="110"/>
      <c r="C89" s="110"/>
      <c r="D89" s="110" t="s">
        <v>636</v>
      </c>
    </row>
    <row r="90" spans="1:10" ht="15" customHeight="1" x14ac:dyDescent="0.25">
      <c r="A90" s="110" t="s">
        <v>227</v>
      </c>
      <c r="B90" s="110"/>
      <c r="C90" s="110"/>
      <c r="D90" s="110" t="s">
        <v>639</v>
      </c>
    </row>
    <row r="91" spans="1:10" ht="15" customHeight="1" x14ac:dyDescent="0.25">
      <c r="A91" s="110" t="s">
        <v>158</v>
      </c>
      <c r="B91" s="110"/>
      <c r="C91" s="110"/>
      <c r="D91" s="110" t="s">
        <v>695</v>
      </c>
    </row>
    <row r="93" spans="1:10" ht="15" customHeight="1" x14ac:dyDescent="0.25">
      <c r="A93" s="202" t="s">
        <v>630</v>
      </c>
      <c r="B93" s="157"/>
      <c r="C93" s="157"/>
      <c r="D93" s="157"/>
      <c r="E93" s="157"/>
    </row>
    <row r="94" spans="1:10" ht="15" customHeight="1" x14ac:dyDescent="0.25">
      <c r="A94" s="112" t="s">
        <v>692</v>
      </c>
      <c r="B94" s="112" t="s">
        <v>693</v>
      </c>
      <c r="C94" s="112" t="s">
        <v>694</v>
      </c>
      <c r="D94" s="112" t="s">
        <v>634</v>
      </c>
    </row>
    <row r="95" spans="1:10" ht="15" customHeight="1" x14ac:dyDescent="0.25">
      <c r="A95" s="113" t="s">
        <v>211</v>
      </c>
      <c r="B95" s="113" t="s">
        <v>696</v>
      </c>
      <c r="C95" s="113" t="s">
        <v>697</v>
      </c>
      <c r="D95" s="113" t="s">
        <v>636</v>
      </c>
    </row>
    <row r="96" spans="1:10" ht="15" customHeight="1" x14ac:dyDescent="0.25">
      <c r="A96" s="113" t="s">
        <v>227</v>
      </c>
      <c r="B96" s="113" t="s">
        <v>698</v>
      </c>
      <c r="C96" s="113" t="s">
        <v>699</v>
      </c>
      <c r="D96" s="113" t="s">
        <v>639</v>
      </c>
    </row>
    <row r="97" spans="1:10" ht="15" customHeight="1" x14ac:dyDescent="0.25">
      <c r="A97" s="113" t="s">
        <v>158</v>
      </c>
      <c r="B97" s="113" t="s">
        <v>700</v>
      </c>
      <c r="C97" s="113" t="s">
        <v>701</v>
      </c>
      <c r="D97" s="113" t="s">
        <v>695</v>
      </c>
    </row>
    <row r="100" spans="1:10" ht="15" customHeight="1" x14ac:dyDescent="0.25">
      <c r="A100" s="201" t="s">
        <v>702</v>
      </c>
      <c r="B100" s="157"/>
      <c r="C100" s="157"/>
      <c r="D100" s="157"/>
      <c r="E100" s="157"/>
      <c r="F100" s="157"/>
      <c r="G100" s="157"/>
      <c r="H100" s="157"/>
      <c r="I100" s="157"/>
      <c r="J100" s="157"/>
    </row>
    <row r="101" spans="1:10" ht="15" customHeight="1" x14ac:dyDescent="0.25">
      <c r="A101" s="203" t="s">
        <v>611</v>
      </c>
      <c r="B101" s="157"/>
      <c r="C101" s="157"/>
      <c r="D101" s="157"/>
      <c r="E101" s="157"/>
    </row>
    <row r="102" spans="1:10" ht="15" customHeight="1" x14ac:dyDescent="0.25">
      <c r="A102" s="109" t="s">
        <v>614</v>
      </c>
      <c r="B102" s="109" t="s">
        <v>119</v>
      </c>
      <c r="C102" s="109" t="s">
        <v>703</v>
      </c>
    </row>
    <row r="103" spans="1:10" ht="15" customHeight="1" x14ac:dyDescent="0.25">
      <c r="A103" s="110" t="s">
        <v>618</v>
      </c>
      <c r="B103" s="110" t="s">
        <v>704</v>
      </c>
      <c r="C103" s="110" t="s">
        <v>705</v>
      </c>
    </row>
    <row r="104" spans="1:10" ht="15" customHeight="1" x14ac:dyDescent="0.25">
      <c r="A104" s="110" t="s">
        <v>706</v>
      </c>
      <c r="B104" s="110" t="s">
        <v>707</v>
      </c>
      <c r="C104" s="110" t="s">
        <v>213</v>
      </c>
    </row>
    <row r="105" spans="1:10" ht="15" customHeight="1" x14ac:dyDescent="0.25">
      <c r="A105" s="110" t="s">
        <v>708</v>
      </c>
      <c r="B105" s="110" t="s">
        <v>709</v>
      </c>
      <c r="C105" s="110" t="s">
        <v>710</v>
      </c>
    </row>
    <row r="106" spans="1:10" ht="15" customHeight="1" x14ac:dyDescent="0.25">
      <c r="A106" s="110" t="s">
        <v>626</v>
      </c>
      <c r="B106" s="110" t="s">
        <v>711</v>
      </c>
      <c r="C106" s="110" t="s">
        <v>279</v>
      </c>
    </row>
    <row r="108" spans="1:10" ht="15" customHeight="1" x14ac:dyDescent="0.25">
      <c r="A108" s="202" t="s">
        <v>630</v>
      </c>
      <c r="B108" s="157"/>
      <c r="C108" s="157"/>
      <c r="D108" s="157"/>
      <c r="E108" s="157"/>
    </row>
    <row r="109" spans="1:10" ht="15" customHeight="1" x14ac:dyDescent="0.25">
      <c r="A109" s="112" t="s">
        <v>614</v>
      </c>
      <c r="B109" s="112" t="s">
        <v>119</v>
      </c>
      <c r="C109" s="112" t="s">
        <v>703</v>
      </c>
    </row>
    <row r="110" spans="1:10" ht="15" customHeight="1" x14ac:dyDescent="0.25">
      <c r="A110" s="113" t="s">
        <v>618</v>
      </c>
      <c r="B110" s="113" t="s">
        <v>712</v>
      </c>
      <c r="C110" s="113" t="s">
        <v>705</v>
      </c>
    </row>
    <row r="111" spans="1:10" ht="15" customHeight="1" x14ac:dyDescent="0.25">
      <c r="A111" s="113" t="s">
        <v>706</v>
      </c>
      <c r="B111" s="113" t="s">
        <v>713</v>
      </c>
      <c r="C111" s="113" t="s">
        <v>213</v>
      </c>
    </row>
    <row r="112" spans="1:10" ht="15" customHeight="1" x14ac:dyDescent="0.25">
      <c r="A112" s="113" t="s">
        <v>708</v>
      </c>
      <c r="B112" s="113" t="s">
        <v>714</v>
      </c>
      <c r="C112" s="113" t="s">
        <v>710</v>
      </c>
    </row>
    <row r="113" spans="1:10" ht="15" customHeight="1" x14ac:dyDescent="0.25">
      <c r="A113" s="113" t="s">
        <v>626</v>
      </c>
      <c r="B113" s="113" t="s">
        <v>715</v>
      </c>
      <c r="C113" s="113" t="s">
        <v>279</v>
      </c>
    </row>
    <row r="116" spans="1:10" ht="15" customHeight="1" x14ac:dyDescent="0.25">
      <c r="A116" s="201" t="s">
        <v>716</v>
      </c>
      <c r="B116" s="157"/>
      <c r="C116" s="157"/>
      <c r="D116" s="157"/>
      <c r="E116" s="157"/>
      <c r="F116" s="157"/>
      <c r="G116" s="157"/>
      <c r="H116" s="157"/>
      <c r="I116" s="157"/>
      <c r="J116" s="157"/>
    </row>
    <row r="117" spans="1:10" ht="15" customHeight="1" x14ac:dyDescent="0.25">
      <c r="A117" s="203" t="s">
        <v>611</v>
      </c>
      <c r="B117" s="157"/>
      <c r="C117" s="157"/>
      <c r="D117" s="157"/>
      <c r="E117" s="157"/>
    </row>
    <row r="118" spans="1:10" ht="15" customHeight="1" x14ac:dyDescent="0.25">
      <c r="A118" s="109" t="s">
        <v>665</v>
      </c>
      <c r="B118" s="109" t="s">
        <v>717</v>
      </c>
      <c r="C118" s="109" t="s">
        <v>667</v>
      </c>
      <c r="D118" s="109" t="s">
        <v>718</v>
      </c>
    </row>
    <row r="119" spans="1:10" ht="15" customHeight="1" x14ac:dyDescent="0.25">
      <c r="A119" s="110" t="s">
        <v>668</v>
      </c>
      <c r="B119" s="110" t="s">
        <v>144</v>
      </c>
      <c r="C119" s="110" t="s">
        <v>669</v>
      </c>
      <c r="D119" s="110"/>
    </row>
    <row r="120" spans="1:10" ht="15" customHeight="1" x14ac:dyDescent="0.25">
      <c r="A120" s="110" t="s">
        <v>670</v>
      </c>
      <c r="B120" s="110" t="s">
        <v>719</v>
      </c>
      <c r="C120" s="110" t="s">
        <v>672</v>
      </c>
      <c r="D120" s="110"/>
    </row>
    <row r="121" spans="1:10" ht="15" customHeight="1" x14ac:dyDescent="0.25">
      <c r="A121" s="110" t="s">
        <v>673</v>
      </c>
      <c r="B121" s="110" t="s">
        <v>720</v>
      </c>
      <c r="C121" s="110" t="s">
        <v>675</v>
      </c>
      <c r="D121" s="110"/>
    </row>
    <row r="122" spans="1:10" ht="15" customHeight="1" x14ac:dyDescent="0.25">
      <c r="A122" s="110" t="s">
        <v>676</v>
      </c>
      <c r="B122" s="110" t="s">
        <v>687</v>
      </c>
      <c r="C122" s="110" t="s">
        <v>678</v>
      </c>
      <c r="D122" s="110"/>
    </row>
    <row r="124" spans="1:10" ht="15" customHeight="1" x14ac:dyDescent="0.25">
      <c r="A124" s="202" t="s">
        <v>630</v>
      </c>
      <c r="B124" s="157"/>
      <c r="C124" s="157"/>
      <c r="D124" s="157"/>
      <c r="E124" s="157"/>
    </row>
    <row r="125" spans="1:10" ht="15" customHeight="1" x14ac:dyDescent="0.25">
      <c r="A125" s="112" t="s">
        <v>665</v>
      </c>
      <c r="B125" s="112" t="s">
        <v>717</v>
      </c>
      <c r="C125" s="112" t="s">
        <v>667</v>
      </c>
      <c r="D125" s="112" t="s">
        <v>718</v>
      </c>
    </row>
    <row r="126" spans="1:10" ht="15" customHeight="1" x14ac:dyDescent="0.25">
      <c r="A126" s="113" t="s">
        <v>668</v>
      </c>
      <c r="B126" s="113" t="s">
        <v>144</v>
      </c>
      <c r="C126" s="113" t="s">
        <v>669</v>
      </c>
      <c r="D126" s="113" t="s">
        <v>721</v>
      </c>
    </row>
    <row r="127" spans="1:10" ht="15" customHeight="1" x14ac:dyDescent="0.25">
      <c r="A127" s="113" t="s">
        <v>670</v>
      </c>
      <c r="B127" s="113" t="s">
        <v>719</v>
      </c>
      <c r="C127" s="113" t="s">
        <v>672</v>
      </c>
      <c r="D127" s="113" t="s">
        <v>722</v>
      </c>
    </row>
    <row r="128" spans="1:10" ht="15" customHeight="1" x14ac:dyDescent="0.25">
      <c r="A128" s="113" t="s">
        <v>673</v>
      </c>
      <c r="B128" s="113" t="s">
        <v>720</v>
      </c>
      <c r="C128" s="113" t="s">
        <v>675</v>
      </c>
      <c r="D128" s="113" t="s">
        <v>721</v>
      </c>
    </row>
    <row r="129" spans="1:10" ht="15" customHeight="1" x14ac:dyDescent="0.25">
      <c r="A129" s="113" t="s">
        <v>676</v>
      </c>
      <c r="B129" s="113" t="s">
        <v>687</v>
      </c>
      <c r="C129" s="113" t="s">
        <v>678</v>
      </c>
      <c r="D129" s="113" t="s">
        <v>722</v>
      </c>
    </row>
    <row r="132" spans="1:10" ht="15" customHeight="1" x14ac:dyDescent="0.25">
      <c r="A132" s="201" t="s">
        <v>723</v>
      </c>
      <c r="B132" s="157"/>
      <c r="C132" s="157"/>
      <c r="D132" s="157"/>
      <c r="E132" s="157"/>
      <c r="F132" s="157"/>
      <c r="G132" s="157"/>
      <c r="H132" s="157"/>
      <c r="I132" s="157"/>
      <c r="J132" s="157"/>
    </row>
    <row r="133" spans="1:10" ht="15" customHeight="1" x14ac:dyDescent="0.25">
      <c r="A133" s="203" t="s">
        <v>611</v>
      </c>
      <c r="B133" s="157"/>
      <c r="C133" s="157"/>
      <c r="D133" s="157"/>
      <c r="E133" s="157"/>
    </row>
    <row r="134" spans="1:10" ht="15" customHeight="1" x14ac:dyDescent="0.25">
      <c r="A134" s="109" t="s">
        <v>724</v>
      </c>
      <c r="B134" s="109" t="s">
        <v>725</v>
      </c>
      <c r="C134" s="109" t="s">
        <v>726</v>
      </c>
    </row>
    <row r="135" spans="1:10" ht="15" customHeight="1" x14ac:dyDescent="0.25">
      <c r="A135" s="110" t="s">
        <v>727</v>
      </c>
      <c r="B135" s="110" t="s">
        <v>728</v>
      </c>
      <c r="C135" s="110"/>
    </row>
    <row r="136" spans="1:10" ht="15" customHeight="1" x14ac:dyDescent="0.25">
      <c r="A136" s="110" t="s">
        <v>729</v>
      </c>
      <c r="B136" s="110" t="s">
        <v>730</v>
      </c>
      <c r="C136" s="110"/>
    </row>
    <row r="137" spans="1:10" ht="15" customHeight="1" x14ac:dyDescent="0.25">
      <c r="A137" s="110" t="s">
        <v>731</v>
      </c>
      <c r="B137" s="110" t="s">
        <v>732</v>
      </c>
      <c r="C137" s="110"/>
    </row>
    <row r="138" spans="1:10" ht="15" customHeight="1" x14ac:dyDescent="0.25">
      <c r="A138" s="110" t="s">
        <v>733</v>
      </c>
      <c r="B138" s="110" t="s">
        <v>706</v>
      </c>
      <c r="C138" s="110"/>
    </row>
    <row r="140" spans="1:10" ht="15" customHeight="1" x14ac:dyDescent="0.25">
      <c r="A140" s="202" t="s">
        <v>630</v>
      </c>
      <c r="B140" s="157"/>
      <c r="C140" s="157"/>
      <c r="D140" s="157"/>
      <c r="E140" s="157"/>
    </row>
    <row r="141" spans="1:10" ht="15" customHeight="1" x14ac:dyDescent="0.25">
      <c r="A141" s="112" t="s">
        <v>724</v>
      </c>
      <c r="B141" s="112" t="s">
        <v>725</v>
      </c>
      <c r="C141" s="112" t="s">
        <v>726</v>
      </c>
    </row>
    <row r="142" spans="1:10" ht="15" customHeight="1" x14ac:dyDescent="0.25">
      <c r="A142" s="113" t="s">
        <v>727</v>
      </c>
      <c r="B142" s="113" t="s">
        <v>728</v>
      </c>
      <c r="C142" s="113" t="s">
        <v>618</v>
      </c>
    </row>
    <row r="143" spans="1:10" ht="15" customHeight="1" x14ac:dyDescent="0.25">
      <c r="A143" s="113" t="s">
        <v>729</v>
      </c>
      <c r="B143" s="113" t="s">
        <v>730</v>
      </c>
      <c r="C143" s="113" t="s">
        <v>618</v>
      </c>
    </row>
    <row r="144" spans="1:10" ht="15" customHeight="1" x14ac:dyDescent="0.25">
      <c r="A144" s="113" t="s">
        <v>731</v>
      </c>
      <c r="B144" s="113" t="s">
        <v>732</v>
      </c>
      <c r="C144" s="113" t="s">
        <v>618</v>
      </c>
    </row>
    <row r="145" spans="1:10" ht="15" customHeight="1" x14ac:dyDescent="0.25">
      <c r="A145" s="113" t="s">
        <v>733</v>
      </c>
      <c r="B145" s="113" t="s">
        <v>706</v>
      </c>
      <c r="C145" s="113" t="s">
        <v>706</v>
      </c>
    </row>
    <row r="148" spans="1:10" ht="15" customHeight="1" x14ac:dyDescent="0.25">
      <c r="A148" s="201" t="s">
        <v>734</v>
      </c>
      <c r="B148" s="157"/>
      <c r="C148" s="157"/>
      <c r="D148" s="157"/>
      <c r="E148" s="157"/>
      <c r="F148" s="157"/>
      <c r="G148" s="157"/>
      <c r="H148" s="157"/>
      <c r="I148" s="157"/>
      <c r="J148" s="157"/>
    </row>
    <row r="149" spans="1:10" ht="15" customHeight="1" x14ac:dyDescent="0.25">
      <c r="A149" s="203" t="s">
        <v>611</v>
      </c>
      <c r="B149" s="157"/>
      <c r="C149" s="157"/>
      <c r="D149" s="157"/>
      <c r="E149" s="157"/>
    </row>
    <row r="150" spans="1:10" ht="15" customHeight="1" x14ac:dyDescent="0.25">
      <c r="A150" s="109" t="s">
        <v>735</v>
      </c>
      <c r="B150" s="109" t="s">
        <v>736</v>
      </c>
      <c r="C150" s="109" t="s">
        <v>737</v>
      </c>
      <c r="D150" s="109" t="s">
        <v>738</v>
      </c>
      <c r="E150" s="109" t="s">
        <v>739</v>
      </c>
    </row>
    <row r="151" spans="1:10" ht="15" customHeight="1" x14ac:dyDescent="0.25">
      <c r="A151" s="110" t="s">
        <v>696</v>
      </c>
      <c r="B151" s="110" t="s">
        <v>697</v>
      </c>
      <c r="C151" s="110" t="s">
        <v>740</v>
      </c>
      <c r="D151" s="110" t="s">
        <v>741</v>
      </c>
      <c r="E151" s="110"/>
    </row>
    <row r="152" spans="1:10" ht="15" customHeight="1" x14ac:dyDescent="0.25">
      <c r="A152" s="110" t="s">
        <v>698</v>
      </c>
      <c r="B152" s="110" t="s">
        <v>699</v>
      </c>
      <c r="C152" s="110" t="s">
        <v>742</v>
      </c>
      <c r="D152" s="110" t="s">
        <v>743</v>
      </c>
      <c r="E152" s="110"/>
    </row>
    <row r="153" spans="1:10" ht="15" customHeight="1" x14ac:dyDescent="0.25">
      <c r="A153" s="110" t="s">
        <v>700</v>
      </c>
      <c r="B153" s="110" t="s">
        <v>701</v>
      </c>
      <c r="C153" s="110" t="s">
        <v>744</v>
      </c>
      <c r="D153" s="110" t="s">
        <v>745</v>
      </c>
      <c r="E153" s="110"/>
    </row>
    <row r="155" spans="1:10" ht="15" customHeight="1" x14ac:dyDescent="0.25">
      <c r="A155" s="202" t="s">
        <v>630</v>
      </c>
      <c r="B155" s="157"/>
      <c r="C155" s="157"/>
      <c r="D155" s="157"/>
      <c r="E155" s="157"/>
    </row>
    <row r="156" spans="1:10" ht="15" customHeight="1" x14ac:dyDescent="0.25">
      <c r="A156" s="112" t="s">
        <v>735</v>
      </c>
      <c r="B156" s="112" t="s">
        <v>736</v>
      </c>
      <c r="C156" s="112" t="s">
        <v>737</v>
      </c>
      <c r="D156" s="112" t="s">
        <v>738</v>
      </c>
      <c r="E156" s="112" t="s">
        <v>739</v>
      </c>
    </row>
    <row r="157" spans="1:10" ht="15" customHeight="1" x14ac:dyDescent="0.25">
      <c r="A157" s="113" t="s">
        <v>696</v>
      </c>
      <c r="B157" s="113" t="s">
        <v>697</v>
      </c>
      <c r="C157" s="113" t="s">
        <v>740</v>
      </c>
      <c r="D157" s="113" t="s">
        <v>741</v>
      </c>
      <c r="E157" s="113" t="s">
        <v>746</v>
      </c>
    </row>
    <row r="158" spans="1:10" ht="15" customHeight="1" x14ac:dyDescent="0.25">
      <c r="A158" s="113" t="s">
        <v>698</v>
      </c>
      <c r="B158" s="113" t="s">
        <v>699</v>
      </c>
      <c r="C158" s="113" t="s">
        <v>742</v>
      </c>
      <c r="D158" s="113" t="s">
        <v>743</v>
      </c>
      <c r="E158" s="113" t="s">
        <v>747</v>
      </c>
    </row>
    <row r="159" spans="1:10" ht="15" customHeight="1" x14ac:dyDescent="0.25">
      <c r="A159" s="113" t="s">
        <v>700</v>
      </c>
      <c r="B159" s="113" t="s">
        <v>701</v>
      </c>
      <c r="C159" s="113" t="s">
        <v>744</v>
      </c>
      <c r="D159" s="113" t="s">
        <v>745</v>
      </c>
      <c r="E159" s="113" t="s">
        <v>748</v>
      </c>
    </row>
  </sheetData>
  <mergeCells count="31">
    <mergeCell ref="A155:E155"/>
    <mergeCell ref="A93:E93"/>
    <mergeCell ref="A13:E13"/>
    <mergeCell ref="A86:J86"/>
    <mergeCell ref="A149:E149"/>
    <mergeCell ref="A21:E21"/>
    <mergeCell ref="A1:J1"/>
    <mergeCell ref="A55:E55"/>
    <mergeCell ref="A132:J132"/>
    <mergeCell ref="A36:J36"/>
    <mergeCell ref="A101:E101"/>
    <mergeCell ref="A70:J70"/>
    <mergeCell ref="A71:E71"/>
    <mergeCell ref="A5:E5"/>
    <mergeCell ref="A54:J54"/>
    <mergeCell ref="A140:E140"/>
    <mergeCell ref="A62:E62"/>
    <mergeCell ref="A28:E28"/>
    <mergeCell ref="A117:E117"/>
    <mergeCell ref="A124:E124"/>
    <mergeCell ref="A87:E87"/>
    <mergeCell ref="A78:E78"/>
    <mergeCell ref="A108:E108"/>
    <mergeCell ref="A148:J148"/>
    <mergeCell ref="A133:E133"/>
    <mergeCell ref="A116:J116"/>
    <mergeCell ref="A100:J100"/>
    <mergeCell ref="A45:E45"/>
    <mergeCell ref="A4:J4"/>
    <mergeCell ref="A20:J20"/>
    <mergeCell ref="A37:E37"/>
  </mergeCells>
  <hyperlinks>
    <hyperlink ref="J2" location="'Project Overview'!A1" display="← Back to Project Overview" xr:uid="{00000000-0004-0000-06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3"/>
  <sheetViews>
    <sheetView zoomScaleNormal="100" workbookViewId="0">
      <pane ySplit="3" topLeftCell="A4" activePane="bottomLeft" state="frozen"/>
      <selection pane="bottomLeft" sqref="A1:E1"/>
    </sheetView>
  </sheetViews>
  <sheetFormatPr defaultColWidth="8.7109375" defaultRowHeight="15" x14ac:dyDescent="0.25"/>
  <cols>
    <col min="1" max="1" width="45" customWidth="1"/>
    <col min="2" max="2" width="25" customWidth="1"/>
    <col min="3" max="4" width="45" customWidth="1"/>
    <col min="5" max="5" width="29" customWidth="1"/>
  </cols>
  <sheetData>
    <row r="1" spans="1:5" ht="25.5" customHeight="1" x14ac:dyDescent="0.25">
      <c r="A1" s="199" t="s">
        <v>749</v>
      </c>
      <c r="B1" s="175"/>
      <c r="C1" s="175"/>
      <c r="D1" s="175"/>
      <c r="E1" s="175"/>
    </row>
    <row r="2" spans="1:5" ht="15" customHeight="1" x14ac:dyDescent="0.25">
      <c r="E2" s="139" t="s">
        <v>111</v>
      </c>
    </row>
    <row r="3" spans="1:5" ht="27.75" customHeight="1" x14ac:dyDescent="0.25">
      <c r="A3" s="16" t="s">
        <v>112</v>
      </c>
      <c r="B3" s="16" t="s">
        <v>750</v>
      </c>
      <c r="C3" s="16" t="s">
        <v>751</v>
      </c>
      <c r="D3" s="16" t="s">
        <v>120</v>
      </c>
      <c r="E3" s="16" t="s">
        <v>67</v>
      </c>
    </row>
    <row r="4" spans="1:5" ht="15" customHeight="1" x14ac:dyDescent="0.25">
      <c r="A4" s="100">
        <v>1</v>
      </c>
      <c r="B4" s="114" t="s">
        <v>752</v>
      </c>
      <c r="C4" s="115" t="s">
        <v>753</v>
      </c>
      <c r="D4" s="116" t="s">
        <v>754</v>
      </c>
      <c r="E4" s="100" t="s">
        <v>755</v>
      </c>
    </row>
    <row r="5" spans="1:5" ht="15" customHeight="1" x14ac:dyDescent="0.25">
      <c r="A5" s="100">
        <v>2</v>
      </c>
      <c r="B5" s="114" t="s">
        <v>756</v>
      </c>
      <c r="C5" s="115" t="s">
        <v>757</v>
      </c>
      <c r="D5" s="116" t="s">
        <v>758</v>
      </c>
      <c r="E5" s="100" t="s">
        <v>755</v>
      </c>
    </row>
    <row r="6" spans="1:5" ht="15" customHeight="1" x14ac:dyDescent="0.25">
      <c r="A6" s="100">
        <v>3</v>
      </c>
      <c r="B6" s="114" t="s">
        <v>759</v>
      </c>
      <c r="C6" s="115" t="s">
        <v>79</v>
      </c>
      <c r="D6" s="116" t="s">
        <v>760</v>
      </c>
      <c r="E6" s="100" t="s">
        <v>761</v>
      </c>
    </row>
    <row r="7" spans="1:5" ht="15" customHeight="1" x14ac:dyDescent="0.25">
      <c r="A7" s="100">
        <v>4</v>
      </c>
      <c r="B7" s="114" t="s">
        <v>762</v>
      </c>
      <c r="C7" s="115" t="s">
        <v>82</v>
      </c>
      <c r="D7" s="116" t="s">
        <v>763</v>
      </c>
      <c r="E7" s="100" t="s">
        <v>764</v>
      </c>
    </row>
    <row r="8" spans="1:5" ht="15" customHeight="1" x14ac:dyDescent="0.25">
      <c r="A8" s="100">
        <v>5</v>
      </c>
      <c r="B8" s="114" t="s">
        <v>765</v>
      </c>
      <c r="C8" s="115" t="s">
        <v>766</v>
      </c>
      <c r="D8" s="116" t="s">
        <v>767</v>
      </c>
      <c r="E8" s="100" t="s">
        <v>764</v>
      </c>
    </row>
    <row r="9" spans="1:5" ht="15" customHeight="1" x14ac:dyDescent="0.25">
      <c r="A9" s="100">
        <v>6</v>
      </c>
      <c r="B9" s="114" t="s">
        <v>768</v>
      </c>
      <c r="C9" s="115" t="s">
        <v>769</v>
      </c>
      <c r="D9" s="116" t="s">
        <v>770</v>
      </c>
      <c r="E9" s="100" t="s">
        <v>764</v>
      </c>
    </row>
    <row r="10" spans="1:5" ht="15" customHeight="1" x14ac:dyDescent="0.25">
      <c r="A10" s="102">
        <v>7</v>
      </c>
      <c r="B10" s="117" t="s">
        <v>771</v>
      </c>
      <c r="C10" s="118" t="s">
        <v>86</v>
      </c>
      <c r="D10" s="119" t="s">
        <v>772</v>
      </c>
      <c r="E10" s="102" t="s">
        <v>773</v>
      </c>
    </row>
    <row r="11" spans="1:5" ht="15" customHeight="1" x14ac:dyDescent="0.25">
      <c r="A11" s="102">
        <v>8</v>
      </c>
      <c r="B11" s="117" t="s">
        <v>774</v>
      </c>
      <c r="C11" s="118" t="s">
        <v>775</v>
      </c>
      <c r="D11" s="119" t="s">
        <v>776</v>
      </c>
      <c r="E11" s="102" t="s">
        <v>773</v>
      </c>
    </row>
    <row r="12" spans="1:5" ht="15" customHeight="1" x14ac:dyDescent="0.25">
      <c r="A12" s="102">
        <v>9</v>
      </c>
      <c r="B12" s="117" t="s">
        <v>777</v>
      </c>
      <c r="C12" s="118" t="s">
        <v>778</v>
      </c>
      <c r="D12" s="119" t="s">
        <v>779</v>
      </c>
      <c r="E12" s="102" t="s">
        <v>780</v>
      </c>
    </row>
    <row r="13" spans="1:5" ht="15" customHeight="1" x14ac:dyDescent="0.25">
      <c r="A13" s="102">
        <v>10</v>
      </c>
      <c r="B13" s="117" t="s">
        <v>781</v>
      </c>
      <c r="C13" s="118" t="s">
        <v>782</v>
      </c>
      <c r="D13" s="119" t="s">
        <v>783</v>
      </c>
      <c r="E13" s="102" t="s">
        <v>780</v>
      </c>
    </row>
    <row r="14" spans="1:5" ht="15" customHeight="1" x14ac:dyDescent="0.25">
      <c r="A14" s="102">
        <v>11</v>
      </c>
      <c r="B14" s="117" t="s">
        <v>784</v>
      </c>
      <c r="C14" s="118" t="s">
        <v>785</v>
      </c>
      <c r="D14" s="119" t="s">
        <v>786</v>
      </c>
      <c r="E14" s="102" t="s">
        <v>780</v>
      </c>
    </row>
    <row r="15" spans="1:5" ht="15" customHeight="1" x14ac:dyDescent="0.25">
      <c r="A15" s="102">
        <v>12</v>
      </c>
      <c r="B15" s="117" t="s">
        <v>787</v>
      </c>
      <c r="C15" s="118" t="s">
        <v>788</v>
      </c>
      <c r="D15" s="119" t="s">
        <v>789</v>
      </c>
      <c r="E15" s="102" t="s">
        <v>790</v>
      </c>
    </row>
    <row r="16" spans="1:5" ht="15" customHeight="1" x14ac:dyDescent="0.25">
      <c r="A16" s="102">
        <v>13</v>
      </c>
      <c r="B16" s="117" t="s">
        <v>791</v>
      </c>
      <c r="C16" s="118" t="s">
        <v>792</v>
      </c>
      <c r="D16" s="119" t="s">
        <v>793</v>
      </c>
      <c r="E16" s="102" t="s">
        <v>790</v>
      </c>
    </row>
    <row r="17" spans="1:5" ht="15" customHeight="1" x14ac:dyDescent="0.25">
      <c r="A17" s="105">
        <v>14</v>
      </c>
      <c r="B17" s="120" t="s">
        <v>794</v>
      </c>
      <c r="C17" s="121" t="s">
        <v>603</v>
      </c>
      <c r="D17" s="122" t="s">
        <v>795</v>
      </c>
      <c r="E17" s="105" t="s">
        <v>796</v>
      </c>
    </row>
    <row r="18" spans="1:5" ht="15" customHeight="1" x14ac:dyDescent="0.25">
      <c r="A18" s="105">
        <v>15</v>
      </c>
      <c r="B18" s="120" t="s">
        <v>797</v>
      </c>
      <c r="C18" s="121" t="s">
        <v>798</v>
      </c>
      <c r="D18" s="122" t="s">
        <v>799</v>
      </c>
      <c r="E18" s="105" t="s">
        <v>800</v>
      </c>
    </row>
    <row r="19" spans="1:5" ht="15" customHeight="1" x14ac:dyDescent="0.25">
      <c r="A19" s="105">
        <v>16</v>
      </c>
      <c r="B19" s="120" t="s">
        <v>801</v>
      </c>
      <c r="C19" s="121" t="s">
        <v>802</v>
      </c>
      <c r="D19" s="122" t="s">
        <v>803</v>
      </c>
      <c r="E19" s="105" t="s">
        <v>800</v>
      </c>
    </row>
    <row r="20" spans="1:5" ht="15" customHeight="1" x14ac:dyDescent="0.25">
      <c r="A20" s="105">
        <v>17</v>
      </c>
      <c r="B20" s="120" t="s">
        <v>804</v>
      </c>
      <c r="C20" s="121" t="s">
        <v>805</v>
      </c>
      <c r="D20" s="122" t="s">
        <v>806</v>
      </c>
      <c r="E20" s="105" t="s">
        <v>800</v>
      </c>
    </row>
    <row r="21" spans="1:5" ht="21.75" customHeight="1" x14ac:dyDescent="0.25">
      <c r="A21" s="105">
        <v>18</v>
      </c>
      <c r="B21" s="120" t="s">
        <v>807</v>
      </c>
      <c r="C21" s="121" t="s">
        <v>808</v>
      </c>
      <c r="D21" s="122" t="s">
        <v>809</v>
      </c>
      <c r="E21" s="105" t="s">
        <v>810</v>
      </c>
    </row>
    <row r="22" spans="1:5" ht="15" customHeight="1" x14ac:dyDescent="0.25">
      <c r="A22" s="108">
        <v>19</v>
      </c>
      <c r="B22" s="123" t="s">
        <v>811</v>
      </c>
      <c r="C22" s="124" t="s">
        <v>812</v>
      </c>
      <c r="D22" s="125" t="s">
        <v>813</v>
      </c>
      <c r="E22" s="108" t="s">
        <v>814</v>
      </c>
    </row>
    <row r="23" spans="1:5" ht="15" customHeight="1" x14ac:dyDescent="0.25">
      <c r="A23" s="108">
        <v>20</v>
      </c>
      <c r="B23" s="123" t="s">
        <v>815</v>
      </c>
      <c r="C23" s="124" t="s">
        <v>816</v>
      </c>
      <c r="D23" s="125" t="s">
        <v>817</v>
      </c>
      <c r="E23" s="108" t="s">
        <v>814</v>
      </c>
    </row>
  </sheetData>
  <mergeCells count="1">
    <mergeCell ref="A1:E1"/>
  </mergeCells>
  <hyperlinks>
    <hyperlink ref="E2" location="'Project Overview'!A1" display="← Back to Project Overview" xr:uid="{00000000-0004-0000-07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"/>
  <sheetViews>
    <sheetView showGridLines="0" zoomScaleNormal="100" workbookViewId="0">
      <pane ySplit="3" topLeftCell="A4" activePane="bottomLeft" state="frozen"/>
      <selection pane="bottomLeft" activeCell="A15" sqref="A15:F15"/>
    </sheetView>
  </sheetViews>
  <sheetFormatPr defaultColWidth="8.7109375" defaultRowHeight="15" x14ac:dyDescent="0.25"/>
  <cols>
    <col min="1" max="1" width="45" customWidth="1"/>
    <col min="2" max="2" width="34" customWidth="1"/>
    <col min="3" max="3" width="45" customWidth="1"/>
    <col min="4" max="4" width="17" customWidth="1"/>
    <col min="5" max="5" width="22" customWidth="1"/>
    <col min="6" max="6" width="29" customWidth="1"/>
  </cols>
  <sheetData>
    <row r="1" spans="1:6" ht="25.5" customHeight="1" x14ac:dyDescent="0.25">
      <c r="A1" s="199" t="s">
        <v>818</v>
      </c>
      <c r="B1" s="175"/>
      <c r="C1" s="175"/>
      <c r="D1" s="175"/>
      <c r="E1" s="175"/>
      <c r="F1" s="175"/>
    </row>
    <row r="2" spans="1:6" ht="15" customHeight="1" x14ac:dyDescent="0.25">
      <c r="F2" s="139" t="s">
        <v>111</v>
      </c>
    </row>
    <row r="3" spans="1:6" ht="27.75" customHeight="1" x14ac:dyDescent="0.25">
      <c r="A3" s="16" t="s">
        <v>112</v>
      </c>
      <c r="B3" s="16" t="s">
        <v>819</v>
      </c>
      <c r="C3" s="16" t="s">
        <v>820</v>
      </c>
      <c r="D3" s="16" t="s">
        <v>821</v>
      </c>
      <c r="E3" s="16" t="s">
        <v>822</v>
      </c>
      <c r="F3" s="16" t="s">
        <v>17</v>
      </c>
    </row>
    <row r="4" spans="1:6" ht="15" customHeight="1" x14ac:dyDescent="0.25">
      <c r="A4" s="126">
        <v>1</v>
      </c>
      <c r="B4" s="127" t="s">
        <v>823</v>
      </c>
      <c r="C4" s="128" t="s">
        <v>824</v>
      </c>
      <c r="D4" s="126" t="s">
        <v>211</v>
      </c>
      <c r="E4" s="145">
        <v>45313</v>
      </c>
      <c r="F4" s="126" t="s">
        <v>76</v>
      </c>
    </row>
    <row r="5" spans="1:6" ht="15" customHeight="1" x14ac:dyDescent="0.25">
      <c r="A5" s="126">
        <v>2</v>
      </c>
      <c r="B5" s="127" t="s">
        <v>825</v>
      </c>
      <c r="C5" s="128" t="s">
        <v>826</v>
      </c>
      <c r="D5" s="126" t="s">
        <v>227</v>
      </c>
      <c r="E5" s="145">
        <v>45313</v>
      </c>
      <c r="F5" s="126" t="s">
        <v>76</v>
      </c>
    </row>
    <row r="6" spans="1:6" ht="15" customHeight="1" x14ac:dyDescent="0.25">
      <c r="A6" s="126">
        <v>3</v>
      </c>
      <c r="B6" s="127" t="s">
        <v>827</v>
      </c>
      <c r="C6" s="128" t="s">
        <v>828</v>
      </c>
      <c r="D6" s="126" t="s">
        <v>337</v>
      </c>
      <c r="E6" s="145">
        <v>45327</v>
      </c>
      <c r="F6" s="126" t="s">
        <v>76</v>
      </c>
    </row>
    <row r="7" spans="1:6" ht="15" customHeight="1" x14ac:dyDescent="0.25">
      <c r="A7" s="126">
        <v>4</v>
      </c>
      <c r="B7" s="127" t="s">
        <v>829</v>
      </c>
      <c r="C7" s="128" t="s">
        <v>830</v>
      </c>
      <c r="D7" s="126" t="s">
        <v>140</v>
      </c>
      <c r="E7" s="145">
        <v>45327</v>
      </c>
      <c r="F7" s="126" t="s">
        <v>76</v>
      </c>
    </row>
    <row r="8" spans="1:6" ht="15" customHeight="1" x14ac:dyDescent="0.25">
      <c r="A8" s="126">
        <v>5</v>
      </c>
      <c r="B8" s="127" t="s">
        <v>831</v>
      </c>
      <c r="C8" s="128" t="s">
        <v>832</v>
      </c>
      <c r="D8" s="126" t="s">
        <v>122</v>
      </c>
      <c r="E8" s="145">
        <v>45341</v>
      </c>
      <c r="F8" s="126" t="s">
        <v>76</v>
      </c>
    </row>
    <row r="9" spans="1:6" ht="15" customHeight="1" x14ac:dyDescent="0.25">
      <c r="A9" s="129">
        <v>6</v>
      </c>
      <c r="B9" s="130" t="s">
        <v>833</v>
      </c>
      <c r="C9" s="131" t="s">
        <v>834</v>
      </c>
      <c r="D9" s="129" t="s">
        <v>6</v>
      </c>
      <c r="E9" s="146">
        <v>45358</v>
      </c>
      <c r="F9" s="129" t="s">
        <v>18</v>
      </c>
    </row>
    <row r="10" spans="1:6" ht="15" customHeight="1" x14ac:dyDescent="0.25">
      <c r="A10" s="129">
        <v>7</v>
      </c>
      <c r="B10" s="130" t="s">
        <v>835</v>
      </c>
      <c r="C10" s="131" t="s">
        <v>836</v>
      </c>
      <c r="D10" s="129" t="s">
        <v>173</v>
      </c>
      <c r="E10" s="146">
        <v>45372</v>
      </c>
      <c r="F10" s="129" t="s">
        <v>18</v>
      </c>
    </row>
    <row r="11" spans="1:6" ht="15" customHeight="1" x14ac:dyDescent="0.25">
      <c r="A11" s="132">
        <v>8</v>
      </c>
      <c r="B11" s="133" t="s">
        <v>837</v>
      </c>
      <c r="C11" s="134" t="s">
        <v>838</v>
      </c>
      <c r="D11" s="132" t="s">
        <v>298</v>
      </c>
      <c r="E11" s="147">
        <v>45372</v>
      </c>
      <c r="F11" s="135" t="s">
        <v>102</v>
      </c>
    </row>
    <row r="12" spans="1:6" ht="15" customHeight="1" x14ac:dyDescent="0.25">
      <c r="A12" s="132">
        <v>9</v>
      </c>
      <c r="B12" s="133" t="s">
        <v>839</v>
      </c>
      <c r="C12" s="134" t="s">
        <v>840</v>
      </c>
      <c r="D12" s="132" t="s">
        <v>158</v>
      </c>
      <c r="E12" s="147">
        <v>45387</v>
      </c>
      <c r="F12" s="135" t="s">
        <v>102</v>
      </c>
    </row>
    <row r="13" spans="1:6" ht="15" customHeight="1" x14ac:dyDescent="0.25">
      <c r="A13" s="126">
        <v>10</v>
      </c>
      <c r="B13" s="127" t="s">
        <v>841</v>
      </c>
      <c r="C13" s="128" t="s">
        <v>842</v>
      </c>
      <c r="D13" s="126" t="s">
        <v>236</v>
      </c>
      <c r="E13" s="145">
        <v>45292</v>
      </c>
      <c r="F13" s="126" t="s">
        <v>76</v>
      </c>
    </row>
    <row r="15" spans="1:6" ht="39.75" customHeight="1" x14ac:dyDescent="0.25">
      <c r="A15" s="204" t="s">
        <v>843</v>
      </c>
      <c r="B15" s="157"/>
      <c r="C15" s="157"/>
      <c r="D15" s="157"/>
      <c r="E15" s="157"/>
      <c r="F15" s="157"/>
    </row>
    <row r="17" spans="1:2" ht="15" customHeight="1" x14ac:dyDescent="0.25">
      <c r="A17" s="136" t="s">
        <v>844</v>
      </c>
      <c r="B17" s="136" t="s">
        <v>845</v>
      </c>
    </row>
    <row r="18" spans="1:2" ht="15" customHeight="1" x14ac:dyDescent="0.25">
      <c r="A18" s="137" t="s">
        <v>76</v>
      </c>
      <c r="B18" s="137">
        <v>5</v>
      </c>
    </row>
    <row r="19" spans="1:2" ht="15" customHeight="1" x14ac:dyDescent="0.25">
      <c r="A19" s="137" t="s">
        <v>18</v>
      </c>
      <c r="B19" s="137">
        <v>2</v>
      </c>
    </row>
    <row r="20" spans="1:2" ht="15" customHeight="1" x14ac:dyDescent="0.25">
      <c r="A20" s="137" t="s">
        <v>102</v>
      </c>
      <c r="B20" s="137">
        <v>3</v>
      </c>
    </row>
  </sheetData>
  <mergeCells count="2">
    <mergeCell ref="A1:F1"/>
    <mergeCell ref="A15:F15"/>
  </mergeCells>
  <hyperlinks>
    <hyperlink ref="F2" location="'Project Overview'!A1" display="← Back to Project Overview" xr:uid="{00000000-0004-0000-0800-000000000000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"/>
  <sheetViews>
    <sheetView workbookViewId="0">
      <selection activeCell="C4" sqref="C4"/>
    </sheetView>
  </sheetViews>
  <sheetFormatPr defaultRowHeight="15" x14ac:dyDescent="0.25"/>
  <cols>
    <col min="1" max="1" width="32" customWidth="1"/>
    <col min="2" max="2" width="29" customWidth="1"/>
    <col min="3" max="3" width="37" customWidth="1"/>
    <col min="4" max="4" width="28" customWidth="1"/>
  </cols>
  <sheetData>
    <row r="1" spans="1:4" ht="21" x14ac:dyDescent="0.35">
      <c r="A1" s="148" t="s">
        <v>846</v>
      </c>
    </row>
    <row r="2" spans="1:4" x14ac:dyDescent="0.25">
      <c r="A2" s="149" t="s">
        <v>847</v>
      </c>
      <c r="B2" s="149" t="s">
        <v>848</v>
      </c>
      <c r="C2" s="149" t="s">
        <v>849</v>
      </c>
      <c r="D2" s="149" t="s">
        <v>850</v>
      </c>
    </row>
    <row r="3" spans="1:4" x14ac:dyDescent="0.25">
      <c r="A3">
        <v>1</v>
      </c>
      <c r="B3" t="s">
        <v>851</v>
      </c>
      <c r="C3" t="s">
        <v>852</v>
      </c>
      <c r="D3" t="s">
        <v>853</v>
      </c>
    </row>
    <row r="4" spans="1:4" x14ac:dyDescent="0.25">
      <c r="A4">
        <v>2</v>
      </c>
      <c r="B4" t="s">
        <v>854</v>
      </c>
      <c r="C4" t="s">
        <v>855</v>
      </c>
      <c r="D4" t="s">
        <v>856</v>
      </c>
    </row>
    <row r="5" spans="1:4" x14ac:dyDescent="0.25">
      <c r="A5">
        <v>3</v>
      </c>
      <c r="B5" t="s">
        <v>857</v>
      </c>
      <c r="C5" t="s">
        <v>858</v>
      </c>
      <c r="D5" t="s">
        <v>859</v>
      </c>
    </row>
    <row r="6" spans="1:4" x14ac:dyDescent="0.25">
      <c r="A6">
        <v>4</v>
      </c>
      <c r="B6" t="s">
        <v>860</v>
      </c>
      <c r="C6" t="s">
        <v>861</v>
      </c>
      <c r="D6" t="s">
        <v>862</v>
      </c>
    </row>
    <row r="7" spans="1:4" x14ac:dyDescent="0.25">
      <c r="A7">
        <v>5</v>
      </c>
      <c r="B7" t="s">
        <v>863</v>
      </c>
      <c r="C7" t="s">
        <v>864</v>
      </c>
      <c r="D7" t="s">
        <v>865</v>
      </c>
    </row>
    <row r="8" spans="1:4" x14ac:dyDescent="0.25">
      <c r="A8">
        <v>6</v>
      </c>
      <c r="B8" t="s">
        <v>866</v>
      </c>
      <c r="C8" t="s">
        <v>867</v>
      </c>
      <c r="D8" t="s">
        <v>868</v>
      </c>
    </row>
    <row r="9" spans="1:4" x14ac:dyDescent="0.25">
      <c r="A9">
        <v>7</v>
      </c>
      <c r="B9" t="s">
        <v>869</v>
      </c>
      <c r="C9" t="s">
        <v>870</v>
      </c>
      <c r="D9" t="s">
        <v>871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8"/>
  <sheetViews>
    <sheetView tabSelected="1" workbookViewId="0">
      <selection activeCell="B1" sqref="B1"/>
    </sheetView>
  </sheetViews>
  <sheetFormatPr defaultRowHeight="15" x14ac:dyDescent="0.25"/>
  <cols>
    <col min="1" max="1" width="35" customWidth="1"/>
    <col min="2" max="2" width="20" customWidth="1"/>
  </cols>
  <sheetData>
    <row r="1" spans="1:2" x14ac:dyDescent="0.25">
      <c r="A1" s="150" t="s">
        <v>872</v>
      </c>
      <c r="B1" s="150" t="s">
        <v>850</v>
      </c>
    </row>
    <row r="2" spans="1:2" x14ac:dyDescent="0.25">
      <c r="A2" t="s">
        <v>873</v>
      </c>
      <c r="B2">
        <v>150</v>
      </c>
    </row>
    <row r="3" spans="1:2" x14ac:dyDescent="0.25">
      <c r="A3" t="s">
        <v>874</v>
      </c>
      <c r="B3">
        <v>150</v>
      </c>
    </row>
    <row r="4" spans="1:2" x14ac:dyDescent="0.25">
      <c r="A4" t="s">
        <v>875</v>
      </c>
      <c r="B4" t="s">
        <v>876</v>
      </c>
    </row>
    <row r="5" spans="1:2" x14ac:dyDescent="0.25">
      <c r="A5" t="s">
        <v>877</v>
      </c>
      <c r="B5" t="s">
        <v>876</v>
      </c>
    </row>
    <row r="6" spans="1:2" x14ac:dyDescent="0.25">
      <c r="A6" t="s">
        <v>878</v>
      </c>
      <c r="B6" t="s">
        <v>876</v>
      </c>
    </row>
    <row r="7" spans="1:2" x14ac:dyDescent="0.25">
      <c r="A7" t="s">
        <v>879</v>
      </c>
      <c r="B7" t="s">
        <v>876</v>
      </c>
    </row>
    <row r="8" spans="1:2" x14ac:dyDescent="0.25">
      <c r="A8" t="s">
        <v>880</v>
      </c>
      <c r="B8" t="s">
        <v>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Project Overview</vt:lpstr>
      <vt:lpstr>Raw Data</vt:lpstr>
      <vt:lpstr>Cleaned Data</vt:lpstr>
      <vt:lpstr>Gantt Chart</vt:lpstr>
      <vt:lpstr>Resource Planner</vt:lpstr>
      <vt:lpstr>Task Tracker</vt:lpstr>
      <vt:lpstr>Data Reference</vt:lpstr>
      <vt:lpstr>Formula Cheat Sheet</vt:lpstr>
      <vt:lpstr>Dashboard Checklist</vt:lpstr>
      <vt:lpstr>Cleaning Process</vt:lpstr>
      <vt:lpstr>Validation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cp:revision>2</cp:revision>
  <dcterms:created xsi:type="dcterms:W3CDTF">2026-05-19T06:36:09Z</dcterms:created>
  <dcterms:modified xsi:type="dcterms:W3CDTF">2026-05-19T07:31:19Z</dcterms:modified>
  <dc:language>en-US</dc:language>
</cp:coreProperties>
</file>